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C:\Users\Admin\Desktop\SCHOOL STUFF\"/>
    </mc:Choice>
  </mc:AlternateContent>
  <xr:revisionPtr revIDLastSave="0" documentId="13_ncr:1_{44552BBF-5E27-4478-83F3-33EEDBD1BD9F}" xr6:coauthVersionLast="47" xr6:coauthVersionMax="47" xr10:uidLastSave="{00000000-0000-0000-0000-000000000000}"/>
  <bookViews>
    <workbookView xWindow="-110" yWindow="-110" windowWidth="19420" windowHeight="11020" xr2:uid="{5B545E59-24FB-4972-A838-D0539D9683A7}"/>
  </bookViews>
  <sheets>
    <sheet name="DASHBOARD" sheetId="4" r:id="rId1"/>
    <sheet name="PIVOTS" sheetId="2" r:id="rId2"/>
    <sheet name="Excel_jumia" sheetId="1" r:id="rId3"/>
  </sheets>
  <definedNames>
    <definedName name="_xlchart.v1.0" hidden="1">Excel_jumia!$E$2:$E$117</definedName>
    <definedName name="_xlchart.v1.1" hidden="1">Excel_jumia!$G$1</definedName>
    <definedName name="_xlchart.v1.2" hidden="1">Excel_jumia!$G$2:$G$117</definedName>
    <definedName name="_xlchart.v1.3" hidden="1">Excel_jumia!$E$2:$E$117</definedName>
    <definedName name="_xlchart.v1.4" hidden="1">Excel_jumia!$G$1</definedName>
    <definedName name="_xlchart.v1.5" hidden="1">Excel_jumia!$G$2:$G$117</definedName>
    <definedName name="Slicer_Discount_Category">#N/A</definedName>
    <definedName name="Slicer_Rating_Category">#N/A</definedName>
  </definedNames>
  <calcPr calcId="191029"/>
  <pivotCaches>
    <pivotCache cacheId="0" r:id="rId4"/>
    <pivotCache cacheId="3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2" i="1" l="1"/>
  <c r="D2" i="1" s="1"/>
  <c r="B2" i="1"/>
  <c r="D7"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2" i="1"/>
  <c r="I114" i="1"/>
  <c r="J114" i="1" s="1" a="1"/>
  <c r="J114" i="1" s="1"/>
  <c r="I3" i="1"/>
  <c r="J3" i="1" s="1" a="1"/>
  <c r="J3" i="1" s="1"/>
  <c r="I4" i="1"/>
  <c r="J4" i="1" s="1" a="1"/>
  <c r="J4" i="1" s="1"/>
  <c r="I5" i="1"/>
  <c r="J5" i="1" s="1" a="1"/>
  <c r="J5" i="1" s="1"/>
  <c r="I6" i="1"/>
  <c r="J6" i="1" s="1" a="1"/>
  <c r="J6" i="1" s="1"/>
  <c r="I7" i="1"/>
  <c r="J7" i="1" s="1" a="1"/>
  <c r="J7" i="1" s="1"/>
  <c r="I8" i="1"/>
  <c r="J8" i="1" s="1" a="1"/>
  <c r="J8" i="1" s="1"/>
  <c r="I9" i="1"/>
  <c r="J9" i="1" s="1" a="1"/>
  <c r="J9" i="1" s="1"/>
  <c r="I10" i="1"/>
  <c r="J10" i="1" s="1" a="1"/>
  <c r="J10" i="1" s="1"/>
  <c r="I11" i="1"/>
  <c r="J11" i="1" s="1" a="1"/>
  <c r="J11" i="1" s="1"/>
  <c r="I12" i="1"/>
  <c r="J12" i="1" s="1" a="1"/>
  <c r="J12" i="1" s="1"/>
  <c r="I13" i="1"/>
  <c r="J13" i="1" s="1" a="1"/>
  <c r="J13" i="1" s="1"/>
  <c r="I14" i="1"/>
  <c r="J14" i="1" s="1" a="1"/>
  <c r="J14" i="1" s="1"/>
  <c r="I15" i="1"/>
  <c r="J15" i="1" s="1" a="1"/>
  <c r="J15" i="1" s="1"/>
  <c r="I16" i="1"/>
  <c r="J16" i="1" s="1" a="1"/>
  <c r="J16" i="1" s="1"/>
  <c r="I17" i="1"/>
  <c r="J17" i="1" s="1" a="1"/>
  <c r="J17" i="1" s="1"/>
  <c r="I18" i="1"/>
  <c r="J18" i="1" s="1" a="1"/>
  <c r="J18" i="1" s="1"/>
  <c r="I19" i="1"/>
  <c r="J19" i="1" s="1" a="1"/>
  <c r="J19" i="1" s="1"/>
  <c r="I20" i="1"/>
  <c r="J20" i="1" s="1" a="1"/>
  <c r="J20" i="1" s="1"/>
  <c r="I21" i="1"/>
  <c r="J21" i="1" s="1" a="1"/>
  <c r="J21" i="1" s="1"/>
  <c r="I22" i="1"/>
  <c r="J22" i="1" s="1" a="1"/>
  <c r="J22" i="1" s="1"/>
  <c r="I23" i="1"/>
  <c r="J23" i="1" s="1" a="1"/>
  <c r="J23" i="1" s="1"/>
  <c r="I24" i="1"/>
  <c r="J24" i="1" s="1" a="1"/>
  <c r="J24" i="1" s="1"/>
  <c r="I25" i="1"/>
  <c r="J25" i="1" s="1" a="1"/>
  <c r="J25" i="1" s="1"/>
  <c r="I26" i="1"/>
  <c r="J26" i="1" s="1" a="1"/>
  <c r="J26" i="1" s="1"/>
  <c r="I27" i="1"/>
  <c r="J27" i="1" s="1" a="1"/>
  <c r="J27" i="1" s="1"/>
  <c r="I28" i="1"/>
  <c r="J28" i="1" s="1" a="1"/>
  <c r="J28" i="1" s="1"/>
  <c r="I29" i="1"/>
  <c r="J29" i="1" s="1" a="1"/>
  <c r="J29" i="1" s="1"/>
  <c r="I30" i="1"/>
  <c r="J30" i="1" s="1" a="1"/>
  <c r="J30" i="1" s="1"/>
  <c r="I31" i="1"/>
  <c r="J31" i="1" s="1" a="1"/>
  <c r="J31" i="1" s="1"/>
  <c r="I32" i="1"/>
  <c r="J32" i="1" s="1" a="1"/>
  <c r="J32" i="1" s="1"/>
  <c r="I33" i="1"/>
  <c r="J33" i="1" s="1" a="1"/>
  <c r="J33" i="1" s="1"/>
  <c r="I34" i="1"/>
  <c r="J34" i="1" s="1" a="1"/>
  <c r="J34" i="1" s="1"/>
  <c r="I35" i="1"/>
  <c r="J35" i="1" s="1" a="1"/>
  <c r="J35" i="1" s="1"/>
  <c r="I36" i="1"/>
  <c r="J36" i="1" s="1" a="1"/>
  <c r="J36" i="1" s="1"/>
  <c r="I37" i="1"/>
  <c r="J37" i="1" s="1" a="1"/>
  <c r="J37" i="1" s="1"/>
  <c r="I38" i="1"/>
  <c r="J38" i="1" s="1" a="1"/>
  <c r="J38" i="1" s="1"/>
  <c r="I39" i="1"/>
  <c r="J39" i="1" s="1" a="1"/>
  <c r="J39" i="1" s="1"/>
  <c r="I40" i="1"/>
  <c r="J40" i="1" s="1" a="1"/>
  <c r="J40" i="1" s="1"/>
  <c r="I41" i="1"/>
  <c r="J41" i="1" s="1" a="1"/>
  <c r="J41" i="1" s="1"/>
  <c r="I42" i="1"/>
  <c r="J42" i="1" s="1" a="1"/>
  <c r="J42" i="1" s="1"/>
  <c r="I43" i="1"/>
  <c r="J43" i="1" s="1" a="1"/>
  <c r="J43" i="1" s="1"/>
  <c r="I44" i="1"/>
  <c r="J44" i="1" s="1" a="1"/>
  <c r="J44" i="1" s="1"/>
  <c r="I45" i="1"/>
  <c r="J45" i="1" s="1" a="1"/>
  <c r="J45" i="1" s="1"/>
  <c r="I46" i="1"/>
  <c r="J46" i="1" s="1" a="1"/>
  <c r="J46" i="1" s="1"/>
  <c r="I47" i="1"/>
  <c r="J47" i="1" s="1" a="1"/>
  <c r="J47" i="1" s="1"/>
  <c r="I48" i="1"/>
  <c r="J48" i="1" s="1" a="1"/>
  <c r="J48" i="1" s="1"/>
  <c r="I49" i="1"/>
  <c r="J49" i="1" s="1" a="1"/>
  <c r="J49" i="1" s="1"/>
  <c r="I50" i="1"/>
  <c r="J50" i="1" s="1" a="1"/>
  <c r="J50" i="1" s="1"/>
  <c r="I51" i="1"/>
  <c r="J51" i="1" s="1" a="1"/>
  <c r="J51" i="1" s="1"/>
  <c r="I52" i="1"/>
  <c r="J52" i="1" s="1" a="1"/>
  <c r="J52" i="1" s="1"/>
  <c r="I53" i="1"/>
  <c r="J53" i="1" s="1" a="1"/>
  <c r="J53" i="1" s="1"/>
  <c r="I54" i="1"/>
  <c r="J54" i="1" s="1" a="1"/>
  <c r="J54" i="1" s="1"/>
  <c r="I55" i="1"/>
  <c r="J55" i="1" s="1" a="1"/>
  <c r="J55" i="1" s="1"/>
  <c r="I56" i="1"/>
  <c r="J56" i="1" s="1" a="1"/>
  <c r="J56" i="1" s="1"/>
  <c r="I57" i="1"/>
  <c r="J57" i="1" s="1" a="1"/>
  <c r="J57" i="1" s="1"/>
  <c r="I58" i="1"/>
  <c r="J58" i="1" s="1" a="1"/>
  <c r="J58" i="1" s="1"/>
  <c r="I59" i="1"/>
  <c r="J59" i="1" s="1" a="1"/>
  <c r="J59" i="1" s="1"/>
  <c r="I60" i="1"/>
  <c r="J60" i="1" s="1" a="1"/>
  <c r="J60" i="1" s="1"/>
  <c r="I61" i="1"/>
  <c r="J61" i="1" s="1" a="1"/>
  <c r="J61" i="1" s="1"/>
  <c r="I62" i="1"/>
  <c r="J62" i="1" s="1" a="1"/>
  <c r="J62" i="1" s="1"/>
  <c r="I63" i="1"/>
  <c r="J63" i="1" s="1" a="1"/>
  <c r="J63" i="1" s="1"/>
  <c r="I64" i="1"/>
  <c r="J64" i="1" s="1" a="1"/>
  <c r="J64" i="1" s="1"/>
  <c r="I65" i="1"/>
  <c r="J65" i="1" s="1" a="1"/>
  <c r="J65" i="1" s="1"/>
  <c r="I66" i="1"/>
  <c r="J66" i="1" s="1" a="1"/>
  <c r="J66" i="1" s="1"/>
  <c r="I67" i="1"/>
  <c r="J67" i="1" s="1" a="1"/>
  <c r="J67" i="1" s="1"/>
  <c r="I68" i="1"/>
  <c r="J68" i="1" s="1" a="1"/>
  <c r="J68" i="1" s="1"/>
  <c r="I69" i="1"/>
  <c r="J69" i="1" s="1" a="1"/>
  <c r="J69" i="1" s="1"/>
  <c r="I70" i="1"/>
  <c r="J70" i="1" s="1" a="1"/>
  <c r="J70" i="1" s="1"/>
  <c r="I71" i="1"/>
  <c r="J71" i="1" s="1" a="1"/>
  <c r="J71" i="1" s="1"/>
  <c r="I72" i="1"/>
  <c r="J72" i="1" s="1" a="1"/>
  <c r="J72" i="1" s="1"/>
  <c r="I73" i="1"/>
  <c r="J73" i="1" s="1" a="1"/>
  <c r="J73" i="1" s="1"/>
  <c r="I74" i="1"/>
  <c r="J74" i="1" s="1" a="1"/>
  <c r="J74" i="1" s="1"/>
  <c r="I75" i="1"/>
  <c r="J75" i="1" s="1" a="1"/>
  <c r="J75" i="1" s="1"/>
  <c r="I76" i="1"/>
  <c r="J76" i="1" s="1" a="1"/>
  <c r="J76" i="1" s="1"/>
  <c r="I77" i="1"/>
  <c r="J77" i="1" s="1" a="1"/>
  <c r="J77" i="1" s="1"/>
  <c r="I78" i="1"/>
  <c r="J78" i="1" s="1" a="1"/>
  <c r="J78" i="1" s="1"/>
  <c r="I79" i="1"/>
  <c r="J79" i="1" s="1" a="1"/>
  <c r="J79" i="1" s="1"/>
  <c r="I80" i="1"/>
  <c r="J80" i="1" s="1" a="1"/>
  <c r="J80" i="1" s="1"/>
  <c r="I81" i="1"/>
  <c r="J81" i="1" s="1" a="1"/>
  <c r="J81" i="1" s="1"/>
  <c r="I82" i="1"/>
  <c r="J82" i="1" s="1" a="1"/>
  <c r="J82" i="1" s="1"/>
  <c r="I83" i="1"/>
  <c r="J83" i="1" s="1" a="1"/>
  <c r="J83" i="1" s="1"/>
  <c r="I84" i="1"/>
  <c r="J84" i="1" s="1" a="1"/>
  <c r="J84" i="1" s="1"/>
  <c r="I85" i="1"/>
  <c r="J85" i="1" s="1" a="1"/>
  <c r="J85" i="1" s="1"/>
  <c r="I86" i="1"/>
  <c r="J86" i="1" s="1" a="1"/>
  <c r="J86" i="1" s="1"/>
  <c r="I87" i="1"/>
  <c r="J87" i="1" s="1" a="1"/>
  <c r="J87" i="1" s="1"/>
  <c r="I88" i="1"/>
  <c r="J88" i="1" s="1" a="1"/>
  <c r="J88" i="1" s="1"/>
  <c r="I89" i="1"/>
  <c r="J89" i="1" s="1" a="1"/>
  <c r="J89" i="1" s="1"/>
  <c r="I90" i="1"/>
  <c r="J90" i="1" s="1" a="1"/>
  <c r="J90" i="1" s="1"/>
  <c r="I91" i="1"/>
  <c r="J91" i="1" s="1" a="1"/>
  <c r="J91" i="1" s="1"/>
  <c r="I92" i="1"/>
  <c r="J92" i="1" s="1" a="1"/>
  <c r="J92" i="1" s="1"/>
  <c r="I93" i="1"/>
  <c r="J93" i="1" s="1" a="1"/>
  <c r="J93" i="1" s="1"/>
  <c r="I94" i="1"/>
  <c r="J94" i="1" s="1" a="1"/>
  <c r="J94" i="1" s="1"/>
  <c r="I95" i="1"/>
  <c r="J95" i="1" s="1" a="1"/>
  <c r="J95" i="1" s="1"/>
  <c r="I96" i="1"/>
  <c r="J96" i="1" s="1" a="1"/>
  <c r="J96" i="1" s="1"/>
  <c r="I97" i="1"/>
  <c r="J97" i="1" s="1" a="1"/>
  <c r="J97" i="1" s="1"/>
  <c r="I98" i="1"/>
  <c r="J98" i="1" s="1" a="1"/>
  <c r="J98" i="1" s="1"/>
  <c r="I99" i="1"/>
  <c r="J99" i="1" s="1" a="1"/>
  <c r="J99" i="1" s="1"/>
  <c r="I100" i="1"/>
  <c r="J100" i="1" s="1" a="1"/>
  <c r="J100" i="1" s="1"/>
  <c r="I101" i="1"/>
  <c r="J101" i="1" s="1" a="1"/>
  <c r="J101" i="1" s="1"/>
  <c r="I102" i="1"/>
  <c r="J102" i="1" s="1" a="1"/>
  <c r="J102" i="1" s="1"/>
  <c r="I103" i="1"/>
  <c r="J103" i="1" s="1" a="1"/>
  <c r="J103" i="1" s="1"/>
  <c r="I104" i="1"/>
  <c r="J104" i="1" s="1" a="1"/>
  <c r="J104" i="1" s="1"/>
  <c r="I105" i="1"/>
  <c r="J105" i="1" s="1" a="1"/>
  <c r="J105" i="1" s="1"/>
  <c r="I106" i="1"/>
  <c r="J106" i="1" s="1" a="1"/>
  <c r="J106" i="1" s="1"/>
  <c r="I107" i="1"/>
  <c r="J107" i="1" s="1" a="1"/>
  <c r="J107" i="1" s="1"/>
  <c r="I108" i="1"/>
  <c r="J108" i="1" s="1" a="1"/>
  <c r="J108" i="1" s="1"/>
  <c r="I109" i="1"/>
  <c r="J109" i="1" s="1" a="1"/>
  <c r="J109" i="1" s="1"/>
  <c r="I110" i="1"/>
  <c r="J110" i="1" s="1" a="1"/>
  <c r="J110" i="1" s="1"/>
  <c r="I111" i="1"/>
  <c r="J111" i="1" s="1" a="1"/>
  <c r="J111" i="1" s="1"/>
  <c r="I112" i="1"/>
  <c r="J112" i="1" s="1" a="1"/>
  <c r="J112" i="1" s="1"/>
  <c r="I113" i="1"/>
  <c r="J113" i="1" s="1" a="1"/>
  <c r="J113" i="1" s="1"/>
  <c r="I2" i="1"/>
  <c r="J2" i="1" s="1" a="1"/>
  <c r="J2" i="1" s="1"/>
  <c r="D3" i="1"/>
  <c r="D4" i="1"/>
  <c r="D5" i="1"/>
  <c r="D6"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G13" i="2"/>
  <c r="G10" i="2"/>
  <c r="G7" i="2"/>
  <c r="G4"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<sst xmlns="http://schemas.openxmlformats.org/spreadsheetml/2006/main" count="322" uniqueCount="160">
  <si>
    <t>Product</t>
  </si>
  <si>
    <t>Current price</t>
  </si>
  <si>
    <t>old price</t>
  </si>
  <si>
    <t>Discount</t>
  </si>
  <si>
    <t>Review</t>
  </si>
  <si>
    <t>115  Piece Set Of Multifunctional Precision Screwdrivers</t>
  </si>
  <si>
    <t>4.5 out of 5</t>
  </si>
  <si>
    <t>Metal Decorative Hooks Key Hangers Entryway Wall Hooks Towel Hooks - Home</t>
  </si>
  <si>
    <t>4.1 out of 5</t>
  </si>
  <si>
    <t>Portable Mini Cordless Car Vacuum Cleaner - Blue</t>
  </si>
  <si>
    <t>4.6 out of 5</t>
  </si>
  <si>
    <t>Weighing Scale Digital Bathroom Body Fat Scale USB-Black</t>
  </si>
  <si>
    <t>4.7 out of 5</t>
  </si>
  <si>
    <t>Portable Home Small Air Humidifier 3-Speed Fan - Green</t>
  </si>
  <si>
    <t>4.8 out of 5</t>
  </si>
  <si>
    <t>220V 60W Electric Soldering Iron Kits With Tools, Tips, And Multimeter</t>
  </si>
  <si>
    <t>4 out of 5</t>
  </si>
  <si>
    <t>137 Pieces Cake Decorating Tool Set Baking Supplies</t>
  </si>
  <si>
    <t>Desk Foldable Fan Adjustable Fan Strong Wind 3 Gear Usb</t>
  </si>
  <si>
    <t>LASA FOLDING TABLE SERVING STAND</t>
  </si>
  <si>
    <t>13 In 1 Home Repair Tools Box Kit Set</t>
  </si>
  <si>
    <t>3.8 out of 5</t>
  </si>
  <si>
    <t>Genebre 115 In 1 Screwdriver Repairing Tool Set For IPhone Cellphone Hand Tool</t>
  </si>
  <si>
    <t>100 Pcs Crochet Hook Tool Set Knitting Hook Set With Box</t>
  </si>
  <si>
    <t>40cm Gold DIY Acrylic Wall Sticker Clock</t>
  </si>
  <si>
    <t>LASA Digital Thermometer And Hydrometer</t>
  </si>
  <si>
    <t>Multifunction Laser Level With Adjustment Tripod</t>
  </si>
  <si>
    <t>4.2 out of 5</t>
  </si>
  <si>
    <t>Anti-Skid Absorbent Insulation Coaster  For Home Office</t>
  </si>
  <si>
    <t>5 out of 5</t>
  </si>
  <si>
    <t>Peacock  Throw Pillow Cushion Case For Home Car</t>
  </si>
  <si>
    <t>LASA Aluminum Folding Truck Hand Cart - 68kg Max</t>
  </si>
  <si>
    <t>LED Wall Digital Alarm Clock Study Home 12 / 24H Clock Calendar</t>
  </si>
  <si>
    <t>3D Waterproof EVA Plastic Shower Curtain 1.8*2Mtrs</t>
  </si>
  <si>
    <t>3PCS Single Head Knitting Crochet Sweater Needle Set</t>
  </si>
  <si>
    <t>3.3 out of 5</t>
  </si>
  <si>
    <t>4pcs Bathroom/Kitchen Towel Rack,Roll Paper Holder,Towel Bars,Hook</t>
  </si>
  <si>
    <t>LED Romantic Spaceship Starry Sky Projector,Children's Bedroom Night Light-Blue</t>
  </si>
  <si>
    <t>Foldable Overbed Table/Desk</t>
  </si>
  <si>
    <t>4.4 out of 5</t>
  </si>
  <si>
    <t>LASA 3 Tier Bamboo Shoe Bench Storage Shelf</t>
  </si>
  <si>
    <t>4.3 out of 5</t>
  </si>
  <si>
    <t>Electronic Digital Display Vernier Caliper</t>
  </si>
  <si>
    <t>Portable Wardrobe Nonwoven With 3 Hanging Rods And 6 Storage Shelves</t>
  </si>
  <si>
    <t>12 Litre Black Insulated Lunch Box</t>
  </si>
  <si>
    <t>52 Pieces Cake Decorating Tool Set Gift Kit Baking Supplies</t>
  </si>
  <si>
    <t>MultiFunctional Storage Rack Multi-layer Bookshelf</t>
  </si>
  <si>
    <t>Exfoliate And Exfoliate Face Towel - Black</t>
  </si>
  <si>
    <t>12 Litre Insulated Lunch Box Grey</t>
  </si>
  <si>
    <t>LED Eye Protection  Desk Lamp , Study, Reading, USB Fan - Double Pen Holder</t>
  </si>
  <si>
    <t>53Pcs/Set Yarn Knitting Crochet Hooks With Bag - Fortune Cat</t>
  </si>
  <si>
    <t>53 Pieces/Set Yarn Knitting Crochet Hooks With Bag - Pansies</t>
  </si>
  <si>
    <t>DIY File Folder, Office Drawer File Holder, Pen Holder, Desktop Storage Rack</t>
  </si>
  <si>
    <t>Classic Black Cat Cotton Hemp Pillow Case For Home Car</t>
  </si>
  <si>
    <t>Punch-free Great Load Bearing Bathroom Storage Rack Wall Shelf-White</t>
  </si>
  <si>
    <t>1/2/3 Seater Elastic Sofa Cover,Living Room/Home Decor Chair Cover-Grey</t>
  </si>
  <si>
    <t>LASA Stainless Steel Double Wall Mount Soap Dispenser - 500ml</t>
  </si>
  <si>
    <t>4M Float Switch Water Level Controller -Water Tank</t>
  </si>
  <si>
    <t>Modern Sofa Throw Pillow Cover-45x45cm-Blue&amp;Red</t>
  </si>
  <si>
    <t>Balloon Insert, Birthday Party Balloon Set, PU Leather</t>
  </si>
  <si>
    <t>Shower Cap Wide Elastic Band Cover Reusable Bashroom Cap</t>
  </si>
  <si>
    <t>Christmas Elk Fence Yard Lawn Decorations Cute For Holidays</t>
  </si>
  <si>
    <t>60W Hot Melt Glue Sprayer - Efficient And Stable Glue Dispensing</t>
  </si>
  <si>
    <t>Car Phone Charging Stand</t>
  </si>
  <si>
    <t>2pcs Solar Street Light Flood Light Outdoor</t>
  </si>
  <si>
    <t>Creative Owl Shape Keychain Black</t>
  </si>
  <si>
    <t>Brush &amp; Paintbrush Cleaning Tool Pink</t>
  </si>
  <si>
    <t>Pen Grips For Kids Pen Grip Posture Correction Tool For Kids</t>
  </si>
  <si>
    <t>Pilates Cloth Bag Waterproof Durable High Capacity Purple</t>
  </si>
  <si>
    <t>Multi-purpose Rice Drainage Basket And Fruit And Vegetable Drainage Sieve</t>
  </si>
  <si>
    <t>Cute Christmas Fence Garden Decorations For Holiday Home</t>
  </si>
  <si>
    <t>Simple Metal Dog Art Sculpture Decoration For Home Office</t>
  </si>
  <si>
    <t>Christmas Fence Garden Decorations Outdoor For Holiday Home</t>
  </si>
  <si>
    <t>Angle Measuring Tool Full Metal Multi Angle Measuring Tool</t>
  </si>
  <si>
    <t>12V 19500rpm Handheld Electric Angle Grinder Tool - UK - Yellow/Black</t>
  </si>
  <si>
    <t>5 Pieces/set Of Stainless Steel Induction Cooker Pots</t>
  </si>
  <si>
    <t>2.5 out of 5</t>
  </si>
  <si>
    <t>Mythco 120COB Solar Wall Ligt With Motion Sensor And Remote Control 3 Modes</t>
  </si>
  <si>
    <t>3 out of 5</t>
  </si>
  <si>
    <t>5-PCS Stainless Steel Cooking Pot Set With Steamed Slices</t>
  </si>
  <si>
    <t>2.1 out of 5</t>
  </si>
  <si>
    <t>120W Cordless Vacuum Cleaners Handheld Electric Vacuum Cleaner</t>
  </si>
  <si>
    <t>2.8 out of 5</t>
  </si>
  <si>
    <t>Intelligent  LED Body Sensor Wireless Lighting Night Light USB</t>
  </si>
  <si>
    <t>2.7 out of 5</t>
  </si>
  <si>
    <t>VIC Wireless Vacuum Cleaner Dual Use For Home And Car 120W High Power Powerful</t>
  </si>
  <si>
    <t>2.9 out of 5</t>
  </si>
  <si>
    <t>Artificial Potted Flowers Room Decorative Flowers (2 Pieces)</t>
  </si>
  <si>
    <t>2.2 out of 5</t>
  </si>
  <si>
    <t>380ML USB Rechargeable Portable Small Blenders And Juicers</t>
  </si>
  <si>
    <t>2.3 out of 5</t>
  </si>
  <si>
    <t>32PCS Portable Cordless Drill Set With Cyclic Battery Drive -26 Variable Speed</t>
  </si>
  <si>
    <t>Agapeon Toothbrush Holder And Toothpaste Dispenser</t>
  </si>
  <si>
    <t>2.6 out of 5</t>
  </si>
  <si>
    <t>Large Lazy Inflatable Sofa Chairs PVC Lounger Seat Bag</t>
  </si>
  <si>
    <t>Watercolour Gold Foil Textured Print Pillow Cover</t>
  </si>
  <si>
    <t>Wrought Iron Bathroom Shelf Wall Mounted Free Punch Toilet Rack</t>
  </si>
  <si>
    <t>7-piece Set Of Storage Bags, Travel Storage Bags, Shoe Bags</t>
  </si>
  <si>
    <t>Electric LED UV Mosquito Killer Lamp, Outdoor/Indoor Fly Killer Trap Light -USB</t>
  </si>
  <si>
    <t>2PCS/LOT Solar LED Outdoor Intelligent Light Controlled Wall Lamp</t>
  </si>
  <si>
    <t>3PCS Rotary Scraper Thermomix For Kitchen</t>
  </si>
  <si>
    <t>Cushion Silicone Butt Cushion Summer Ice Cushion Honeycomb Gel Cushion</t>
  </si>
  <si>
    <t>7PCS Silicone Thumb Knife Finger Protector Vegetable Harvesting Knife</t>
  </si>
  <si>
    <t>Memory Foam Neck Pillow Cover, With Pillow Core - 50*30cm</t>
  </si>
  <si>
    <t>Bedroom Simple Floor Hanging Clothes Rack Single Pole Hat Rack - White</t>
  </si>
  <si>
    <t>5m Waterproof Spherical LED String Lights Outdoor Ball Chain Lights Party Lighting Decoration Adjustable</t>
  </si>
  <si>
    <t>2 Pairs Cowhide Split Leather Work Gloves.32â„‰ Or Above Welding Gloves</t>
  </si>
  <si>
    <t>Household Pineapple Peeler Peeler</t>
  </si>
  <si>
    <t>Office Chair Lumbar Back Support Spine Posture Correction Pillow Car Cushion</t>
  </si>
  <si>
    <t>Cartoon Car Decoration Cute Individuality For Car Home Desk</t>
  </si>
  <si>
    <t>Outdoor Portable Water Bottle With Medicine Box - 600ML - Black</t>
  </si>
  <si>
    <t>Wall-Mounted Toothbrush Toothpaste Holder With Multiple Slots</t>
  </si>
  <si>
    <t>Multifunctional Hanging Storage Box Storage Bag (4 Layers)</t>
  </si>
  <si>
    <t>Wall Clock With Hidden Safe Box</t>
  </si>
  <si>
    <t>Portable Wine Table With Folding Round Table</t>
  </si>
  <si>
    <t>Sewing Machine Needle Threader Stitch Insertion Tool Automatic Quick Sewing</t>
  </si>
  <si>
    <t>6 Layers Steel Pipe Assembling Dustproof Storage Shoe Cabinet</t>
  </si>
  <si>
    <t>2PCS Ice Silk Square Cushion Cover Pillowcases - 65x65cm</t>
  </si>
  <si>
    <t>Wall Mount Automatic Toothpaste Dispenser Toothbrush Holder Toothpaste Squeezer</t>
  </si>
  <si>
    <t>Portable Soap Dispenser Kitchen Detergent Press Box Kitchen Tools</t>
  </si>
  <si>
    <t>4 Piece Coloured Stainless Steel Kitchenware Set</t>
  </si>
  <si>
    <t>Metal Wall Clock Silver Dial Crystal Jewelry Round Home Decoration Wall Clock</t>
  </si>
  <si>
    <t>Baby Early Education Shape And Color Cognitive Training Toys</t>
  </si>
  <si>
    <t>8in1 Screwdriver With LED Light</t>
  </si>
  <si>
    <t>Konka Healty Electric Kettle, 24-hour Heat Preservation,1.5L,800W, White</t>
  </si>
  <si>
    <t>9pcs Gas Mask, For Painting, Dust, Formaldehyde Grinding, Polishing</t>
  </si>
  <si>
    <t>24 Grid Wall-mounted Sundries Organiser Fabric Closet Bag Storage Rack</t>
  </si>
  <si>
    <t>1PC Refrigerator Food Seal Pocket Fridge Bags</t>
  </si>
  <si>
    <t>LED Solar Street Light-fake Camera</t>
  </si>
  <si>
    <t>Cartoon Embroidered Mini Towel Bear Cotton Wash Cloth Hand 4pcs</t>
  </si>
  <si>
    <t>Shower Nozzle Cleaning Unclogging Needle Mini Crevice Small Hole Cleaning Brush</t>
  </si>
  <si>
    <t>Thickening Multipurpose Non Stick Easy To Clean Heat Resistant Spoon Pad</t>
  </si>
  <si>
    <t>6 In 1 Bottle Can Opener Multifunctional Easy Opener</t>
  </si>
  <si>
    <t>Wall-mounted Sticker Punch-free Plug Fixer</t>
  </si>
  <si>
    <t>2 out of 5</t>
  </si>
  <si>
    <t>Black Simple Water Cup Wine Coaster Anti Slip Absorbent</t>
  </si>
  <si>
    <t>Discounted Price</t>
  </si>
  <si>
    <t>Ratings</t>
  </si>
  <si>
    <t>Rating</t>
  </si>
  <si>
    <t>Rating Category</t>
  </si>
  <si>
    <t>null</t>
  </si>
  <si>
    <t>Discount Category</t>
  </si>
  <si>
    <t>Row Labels</t>
  </si>
  <si>
    <t>High</t>
  </si>
  <si>
    <t>Low</t>
  </si>
  <si>
    <t>Medium</t>
  </si>
  <si>
    <t>Grand Total</t>
  </si>
  <si>
    <t>Average of Discount</t>
  </si>
  <si>
    <t>Average of Rating</t>
  </si>
  <si>
    <t>Poor</t>
  </si>
  <si>
    <t>Count of Product</t>
  </si>
  <si>
    <t>Max of Discount</t>
  </si>
  <si>
    <t>Sum of Review</t>
  </si>
  <si>
    <t>Max of Rating</t>
  </si>
  <si>
    <t>Sum of Discount</t>
  </si>
  <si>
    <t>Sum of Rating</t>
  </si>
  <si>
    <t xml:space="preserve">Number of products </t>
  </si>
  <si>
    <t>Discount Average</t>
  </si>
  <si>
    <t>Number of Reviews</t>
  </si>
  <si>
    <t>Average Rating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</si>
</sst>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Ksh&quot;#,##0.00"/>
    <numFmt numFmtId="165" formatCode="0.0"/>
  </numFmts>
  <fonts count="18" x14ac:knownFonts="1">
    <font>
      <sz val="8"/>
      <color theme="1"/>
      <name val="Trebuchet MS"/>
      <family val="2"/>
    </font>
    <font>
      <sz val="8"/>
      <color theme="1"/>
      <name val="Trebuchet MS"/>
      <family val="2"/>
    </font>
    <font>
      <sz val="18"/>
      <color theme="3"/>
      <name val="Calibri Light"/>
      <family val="2"/>
      <scheme val="major"/>
    </font>
    <font>
      <b/>
      <sz val="15"/>
      <color theme="3"/>
      <name val="Trebuchet MS"/>
      <family val="2"/>
    </font>
    <font>
      <b/>
      <sz val="13"/>
      <color theme="3"/>
      <name val="Trebuchet MS"/>
      <family val="2"/>
    </font>
    <font>
      <b/>
      <sz val="11"/>
      <color theme="3"/>
      <name val="Trebuchet MS"/>
      <family val="2"/>
    </font>
    <font>
      <sz val="8"/>
      <color rgb="FF006100"/>
      <name val="Trebuchet MS"/>
      <family val="2"/>
    </font>
    <font>
      <sz val="8"/>
      <color rgb="FF9C0006"/>
      <name val="Trebuchet MS"/>
      <family val="2"/>
    </font>
    <font>
      <sz val="8"/>
      <color rgb="FF9C5700"/>
      <name val="Trebuchet MS"/>
      <family val="2"/>
    </font>
    <font>
      <sz val="8"/>
      <color rgb="FF3F3F76"/>
      <name val="Trebuchet MS"/>
      <family val="2"/>
    </font>
    <font>
      <b/>
      <sz val="8"/>
      <color rgb="FF3F3F3F"/>
      <name val="Trebuchet MS"/>
      <family val="2"/>
    </font>
    <font>
      <b/>
      <sz val="8"/>
      <color rgb="FFFA7D00"/>
      <name val="Trebuchet MS"/>
      <family val="2"/>
    </font>
    <font>
      <sz val="8"/>
      <color rgb="FFFA7D00"/>
      <name val="Trebuchet MS"/>
      <family val="2"/>
    </font>
    <font>
      <b/>
      <sz val="8"/>
      <color theme="0"/>
      <name val="Trebuchet MS"/>
      <family val="2"/>
    </font>
    <font>
      <sz val="8"/>
      <color rgb="FFFF0000"/>
      <name val="Trebuchet MS"/>
      <family val="2"/>
    </font>
    <font>
      <i/>
      <sz val="8"/>
      <color rgb="FF7F7F7F"/>
      <name val="Trebuchet MS"/>
      <family val="2"/>
    </font>
    <font>
      <b/>
      <sz val="8"/>
      <color theme="1"/>
      <name val="Trebuchet MS"/>
      <family val="2"/>
    </font>
    <font>
      <sz val="8"/>
      <color theme="0"/>
      <name val="Trebuchet MS"/>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8">
    <xf numFmtId="0" fontId="0" fillId="0" borderId="0" xfId="0"/>
    <xf numFmtId="9" fontId="0" fillId="0" borderId="0" xfId="0" applyNumberFormat="1"/>
    <xf numFmtId="0" fontId="16" fillId="0" borderId="0" xfId="0" applyFont="1"/>
    <xf numFmtId="164" fontId="16" fillId="0" borderId="0" xfId="0" applyNumberFormat="1" applyFont="1"/>
    <xf numFmtId="164" fontId="0" fillId="0" borderId="0" xfId="0" applyNumberFormat="1"/>
    <xf numFmtId="9" fontId="16" fillId="0" borderId="0" xfId="0" applyNumberFormat="1" applyFont="1"/>
    <xf numFmtId="2" fontId="16" fillId="0" borderId="0" xfId="0" applyNumberFormat="1" applyFont="1"/>
    <xf numFmtId="2" fontId="0" fillId="0" borderId="0" xfId="0" applyNumberFormat="1"/>
    <xf numFmtId="9" fontId="16" fillId="0" borderId="0" xfId="1" applyFont="1"/>
    <xf numFmtId="9" fontId="0" fillId="0" borderId="0" xfId="1" applyFont="1"/>
    <xf numFmtId="165" fontId="16" fillId="0" borderId="0" xfId="0" applyNumberFormat="1" applyFont="1"/>
    <xf numFmtId="165"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17" fillId="0" borderId="0" xfId="0" applyFont="1"/>
    <xf numFmtId="9" fontId="17" fillId="0" borderId="0" xfId="0" applyNumberFormat="1" applyFont="1"/>
    <xf numFmtId="2" fontId="17" fillId="0" borderId="0" xfId="0" applyNumberFormat="1" applyFont="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eetMetadata" Target="metadata.xml"/><Relationship Id="rId5" Type="http://schemas.openxmlformats.org/officeDocument/2006/relationships/pivotCacheDefinition" Target="pivotCache/pivotCacheDefinition2.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AVERAGE Rating vs Reviews</a:t>
            </a:r>
          </a:p>
        </c:rich>
      </c:tx>
      <c:layout>
        <c:manualLayout>
          <c:xMode val="edge"/>
          <c:yMode val="edge"/>
          <c:x val="0.17119956524744834"/>
          <c:y val="5.0578605251385439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scatterChart>
        <c:scatterStyle val="lineMarker"/>
        <c:varyColors val="0"/>
        <c:ser>
          <c:idx val="0"/>
          <c:order val="0"/>
          <c:tx>
            <c:strRef>
              <c:f>Excel_jumia!$I$1</c:f>
              <c:strCache>
                <c:ptCount val="1"/>
                <c:pt idx="0">
                  <c:v>Rating</c:v>
                </c:pt>
              </c:strCache>
            </c:strRef>
          </c:tx>
          <c:spPr>
            <a:ln w="25400" cap="rnd">
              <a:no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cap="rnd">
                <a:solidFill>
                  <a:schemeClr val="accent1"/>
                </a:solidFill>
                <a:round/>
              </a:ln>
              <a:effectLst>
                <a:outerShdw blurRad="57150" dist="19050" dir="5400000" algn="ctr" rotWithShape="0">
                  <a:srgbClr val="000000">
                    <a:alpha val="63000"/>
                  </a:srgbClr>
                </a:outerShdw>
              </a:effectLst>
            </c:spPr>
          </c:marker>
          <c:xVal>
            <c:numRef>
              <c:f>Excel_jumia!$G$2:$G$117</c:f>
              <c:numCache>
                <c:formatCode>General</c:formatCode>
                <c:ptCount val="116"/>
                <c:pt idx="0">
                  <c:v>2</c:v>
                </c:pt>
                <c:pt idx="1">
                  <c:v>39</c:v>
                </c:pt>
                <c:pt idx="2">
                  <c:v>2</c:v>
                </c:pt>
                <c:pt idx="3">
                  <c:v>13</c:v>
                </c:pt>
                <c:pt idx="4">
                  <c:v>12</c:v>
                </c:pt>
                <c:pt idx="5">
                  <c:v>69</c:v>
                </c:pt>
                <c:pt idx="7">
                  <c:v>5</c:v>
                </c:pt>
                <c:pt idx="8">
                  <c:v>55</c:v>
                </c:pt>
                <c:pt idx="11">
                  <c:v>15</c:v>
                </c:pt>
                <c:pt idx="16">
                  <c:v>5</c:v>
                </c:pt>
                <c:pt idx="17">
                  <c:v>7</c:v>
                </c:pt>
                <c:pt idx="18">
                  <c:v>44</c:v>
                </c:pt>
                <c:pt idx="20">
                  <c:v>13</c:v>
                </c:pt>
                <c:pt idx="22">
                  <c:v>12</c:v>
                </c:pt>
                <c:pt idx="25">
                  <c:v>6</c:v>
                </c:pt>
                <c:pt idx="26">
                  <c:v>20</c:v>
                </c:pt>
                <c:pt idx="27">
                  <c:v>32</c:v>
                </c:pt>
                <c:pt idx="28">
                  <c:v>20</c:v>
                </c:pt>
                <c:pt idx="30">
                  <c:v>13</c:v>
                </c:pt>
                <c:pt idx="35">
                  <c:v>6</c:v>
                </c:pt>
                <c:pt idx="38">
                  <c:v>17</c:v>
                </c:pt>
                <c:pt idx="41">
                  <c:v>2</c:v>
                </c:pt>
                <c:pt idx="42">
                  <c:v>6</c:v>
                </c:pt>
                <c:pt idx="45">
                  <c:v>1</c:v>
                </c:pt>
                <c:pt idx="53">
                  <c:v>2</c:v>
                </c:pt>
                <c:pt idx="58">
                  <c:v>2</c:v>
                </c:pt>
                <c:pt idx="59">
                  <c:v>1</c:v>
                </c:pt>
                <c:pt idx="60">
                  <c:v>7</c:v>
                </c:pt>
                <c:pt idx="61">
                  <c:v>49</c:v>
                </c:pt>
                <c:pt idx="62">
                  <c:v>9</c:v>
                </c:pt>
                <c:pt idx="63">
                  <c:v>14</c:v>
                </c:pt>
                <c:pt idx="64">
                  <c:v>12</c:v>
                </c:pt>
                <c:pt idx="65">
                  <c:v>1</c:v>
                </c:pt>
                <c:pt idx="66">
                  <c:v>15</c:v>
                </c:pt>
                <c:pt idx="67">
                  <c:v>1</c:v>
                </c:pt>
                <c:pt idx="68">
                  <c:v>5</c:v>
                </c:pt>
                <c:pt idx="69">
                  <c:v>7</c:v>
                </c:pt>
                <c:pt idx="70">
                  <c:v>3</c:v>
                </c:pt>
                <c:pt idx="71">
                  <c:v>6</c:v>
                </c:pt>
                <c:pt idx="72">
                  <c:v>5</c:v>
                </c:pt>
                <c:pt idx="74">
                  <c:v>9</c:v>
                </c:pt>
                <c:pt idx="75">
                  <c:v>6</c:v>
                </c:pt>
                <c:pt idx="77">
                  <c:v>5</c:v>
                </c:pt>
                <c:pt idx="78">
                  <c:v>1</c:v>
                </c:pt>
                <c:pt idx="79">
                  <c:v>14</c:v>
                </c:pt>
                <c:pt idx="82">
                  <c:v>9</c:v>
                </c:pt>
                <c:pt idx="86">
                  <c:v>10</c:v>
                </c:pt>
                <c:pt idx="89">
                  <c:v>2</c:v>
                </c:pt>
                <c:pt idx="92">
                  <c:v>5</c:v>
                </c:pt>
                <c:pt idx="93">
                  <c:v>24</c:v>
                </c:pt>
                <c:pt idx="95">
                  <c:v>12</c:v>
                </c:pt>
                <c:pt idx="97">
                  <c:v>36</c:v>
                </c:pt>
                <c:pt idx="104">
                  <c:v>16</c:v>
                </c:pt>
                <c:pt idx="107">
                  <c:v>1</c:v>
                </c:pt>
                <c:pt idx="109">
                  <c:v>6</c:v>
                </c:pt>
                <c:pt idx="110">
                  <c:v>7</c:v>
                </c:pt>
                <c:pt idx="111">
                  <c:v>5</c:v>
                </c:pt>
              </c:numCache>
            </c:numRef>
          </c:xVal>
          <c:yVal>
            <c:numRef>
              <c:f>Excel_jumia!$I$2:$I$117</c:f>
              <c:numCache>
                <c:formatCode>0.0</c:formatCode>
                <c:ptCount val="116"/>
                <c:pt idx="0">
                  <c:v>4.5</c:v>
                </c:pt>
                <c:pt idx="1">
                  <c:v>4.7</c:v>
                </c:pt>
                <c:pt idx="2">
                  <c:v>4.5</c:v>
                </c:pt>
                <c:pt idx="3">
                  <c:v>3.8</c:v>
                </c:pt>
                <c:pt idx="4">
                  <c:v>4.7</c:v>
                </c:pt>
                <c:pt idx="5">
                  <c:v>2.8</c:v>
                </c:pt>
                <c:pt idx="6">
                  <c:v>0</c:v>
                </c:pt>
                <c:pt idx="7">
                  <c:v>3.8</c:v>
                </c:pt>
                <c:pt idx="8">
                  <c:v>4.5999999999999996</c:v>
                </c:pt>
                <c:pt idx="9">
                  <c:v>0</c:v>
                </c:pt>
                <c:pt idx="10">
                  <c:v>0</c:v>
                </c:pt>
                <c:pt idx="11">
                  <c:v>4</c:v>
                </c:pt>
                <c:pt idx="12">
                  <c:v>0</c:v>
                </c:pt>
                <c:pt idx="13">
                  <c:v>0</c:v>
                </c:pt>
                <c:pt idx="14">
                  <c:v>0</c:v>
                </c:pt>
                <c:pt idx="15">
                  <c:v>0</c:v>
                </c:pt>
                <c:pt idx="16">
                  <c:v>3</c:v>
                </c:pt>
                <c:pt idx="17">
                  <c:v>2.2999999999999998</c:v>
                </c:pt>
                <c:pt idx="18">
                  <c:v>4.5999999999999996</c:v>
                </c:pt>
                <c:pt idx="19">
                  <c:v>0</c:v>
                </c:pt>
                <c:pt idx="20">
                  <c:v>3.3</c:v>
                </c:pt>
                <c:pt idx="21">
                  <c:v>0</c:v>
                </c:pt>
                <c:pt idx="22">
                  <c:v>4.8</c:v>
                </c:pt>
                <c:pt idx="23">
                  <c:v>0</c:v>
                </c:pt>
                <c:pt idx="24">
                  <c:v>0</c:v>
                </c:pt>
                <c:pt idx="25">
                  <c:v>2.5</c:v>
                </c:pt>
                <c:pt idx="26">
                  <c:v>4.0999999999999996</c:v>
                </c:pt>
                <c:pt idx="27">
                  <c:v>4.5</c:v>
                </c:pt>
                <c:pt idx="28">
                  <c:v>4.7</c:v>
                </c:pt>
                <c:pt idx="29">
                  <c:v>0</c:v>
                </c:pt>
                <c:pt idx="30">
                  <c:v>2.1</c:v>
                </c:pt>
                <c:pt idx="31">
                  <c:v>0</c:v>
                </c:pt>
                <c:pt idx="32">
                  <c:v>0</c:v>
                </c:pt>
                <c:pt idx="33">
                  <c:v>0</c:v>
                </c:pt>
                <c:pt idx="34">
                  <c:v>0</c:v>
                </c:pt>
                <c:pt idx="35">
                  <c:v>2.2000000000000002</c:v>
                </c:pt>
                <c:pt idx="36">
                  <c:v>0</c:v>
                </c:pt>
                <c:pt idx="37">
                  <c:v>0</c:v>
                </c:pt>
                <c:pt idx="38">
                  <c:v>2.6</c:v>
                </c:pt>
                <c:pt idx="39">
                  <c:v>0</c:v>
                </c:pt>
                <c:pt idx="40">
                  <c:v>0</c:v>
                </c:pt>
                <c:pt idx="41">
                  <c:v>5</c:v>
                </c:pt>
                <c:pt idx="42">
                  <c:v>2.2000000000000002</c:v>
                </c:pt>
                <c:pt idx="43">
                  <c:v>0</c:v>
                </c:pt>
                <c:pt idx="44">
                  <c:v>0</c:v>
                </c:pt>
                <c:pt idx="45">
                  <c:v>5</c:v>
                </c:pt>
                <c:pt idx="46">
                  <c:v>0</c:v>
                </c:pt>
                <c:pt idx="47">
                  <c:v>0</c:v>
                </c:pt>
                <c:pt idx="48">
                  <c:v>0</c:v>
                </c:pt>
                <c:pt idx="49">
                  <c:v>0</c:v>
                </c:pt>
                <c:pt idx="50">
                  <c:v>0</c:v>
                </c:pt>
                <c:pt idx="51">
                  <c:v>0</c:v>
                </c:pt>
                <c:pt idx="52">
                  <c:v>0</c:v>
                </c:pt>
                <c:pt idx="53">
                  <c:v>5</c:v>
                </c:pt>
                <c:pt idx="54">
                  <c:v>0</c:v>
                </c:pt>
                <c:pt idx="55">
                  <c:v>0</c:v>
                </c:pt>
                <c:pt idx="56">
                  <c:v>0</c:v>
                </c:pt>
                <c:pt idx="57">
                  <c:v>0</c:v>
                </c:pt>
                <c:pt idx="58">
                  <c:v>4</c:v>
                </c:pt>
                <c:pt idx="59">
                  <c:v>5</c:v>
                </c:pt>
                <c:pt idx="60">
                  <c:v>2.1</c:v>
                </c:pt>
                <c:pt idx="61">
                  <c:v>4.5999999999999996</c:v>
                </c:pt>
                <c:pt idx="62">
                  <c:v>4.3</c:v>
                </c:pt>
                <c:pt idx="63">
                  <c:v>4.4000000000000004</c:v>
                </c:pt>
                <c:pt idx="64">
                  <c:v>4.0999999999999996</c:v>
                </c:pt>
                <c:pt idx="65">
                  <c:v>4</c:v>
                </c:pt>
                <c:pt idx="66">
                  <c:v>2.7</c:v>
                </c:pt>
                <c:pt idx="67">
                  <c:v>5</c:v>
                </c:pt>
                <c:pt idx="68">
                  <c:v>3</c:v>
                </c:pt>
                <c:pt idx="69">
                  <c:v>4.3</c:v>
                </c:pt>
                <c:pt idx="70">
                  <c:v>5</c:v>
                </c:pt>
                <c:pt idx="71">
                  <c:v>4.5</c:v>
                </c:pt>
                <c:pt idx="72">
                  <c:v>4.8</c:v>
                </c:pt>
                <c:pt idx="73">
                  <c:v>0</c:v>
                </c:pt>
                <c:pt idx="74">
                  <c:v>4.3</c:v>
                </c:pt>
                <c:pt idx="75">
                  <c:v>4</c:v>
                </c:pt>
                <c:pt idx="76">
                  <c:v>0</c:v>
                </c:pt>
                <c:pt idx="77">
                  <c:v>4.5999999999999996</c:v>
                </c:pt>
                <c:pt idx="78">
                  <c:v>3</c:v>
                </c:pt>
                <c:pt idx="79">
                  <c:v>4.0999999999999996</c:v>
                </c:pt>
                <c:pt idx="80">
                  <c:v>0</c:v>
                </c:pt>
                <c:pt idx="81">
                  <c:v>0</c:v>
                </c:pt>
                <c:pt idx="82">
                  <c:v>4.2</c:v>
                </c:pt>
                <c:pt idx="83">
                  <c:v>0</c:v>
                </c:pt>
                <c:pt idx="84">
                  <c:v>0</c:v>
                </c:pt>
                <c:pt idx="85">
                  <c:v>0</c:v>
                </c:pt>
                <c:pt idx="86">
                  <c:v>3</c:v>
                </c:pt>
                <c:pt idx="87">
                  <c:v>0</c:v>
                </c:pt>
                <c:pt idx="88">
                  <c:v>0</c:v>
                </c:pt>
                <c:pt idx="89">
                  <c:v>5</c:v>
                </c:pt>
                <c:pt idx="90">
                  <c:v>0</c:v>
                </c:pt>
                <c:pt idx="91">
                  <c:v>0</c:v>
                </c:pt>
                <c:pt idx="92">
                  <c:v>4.8</c:v>
                </c:pt>
                <c:pt idx="93">
                  <c:v>4.5999999999999996</c:v>
                </c:pt>
                <c:pt idx="94">
                  <c:v>0</c:v>
                </c:pt>
                <c:pt idx="95">
                  <c:v>3.8</c:v>
                </c:pt>
                <c:pt idx="96">
                  <c:v>0</c:v>
                </c:pt>
                <c:pt idx="97">
                  <c:v>4.3</c:v>
                </c:pt>
                <c:pt idx="98">
                  <c:v>0</c:v>
                </c:pt>
                <c:pt idx="99">
                  <c:v>0</c:v>
                </c:pt>
                <c:pt idx="100">
                  <c:v>0</c:v>
                </c:pt>
                <c:pt idx="101">
                  <c:v>0</c:v>
                </c:pt>
                <c:pt idx="102">
                  <c:v>0</c:v>
                </c:pt>
                <c:pt idx="103">
                  <c:v>0</c:v>
                </c:pt>
                <c:pt idx="104">
                  <c:v>2.9</c:v>
                </c:pt>
                <c:pt idx="105">
                  <c:v>0</c:v>
                </c:pt>
                <c:pt idx="106">
                  <c:v>0</c:v>
                </c:pt>
                <c:pt idx="107">
                  <c:v>2</c:v>
                </c:pt>
                <c:pt idx="108">
                  <c:v>0</c:v>
                </c:pt>
                <c:pt idx="109">
                  <c:v>2.2999999999999998</c:v>
                </c:pt>
                <c:pt idx="110">
                  <c:v>4.7</c:v>
                </c:pt>
                <c:pt idx="111">
                  <c:v>3</c:v>
                </c:pt>
                <c:pt idx="112">
                  <c:v>0</c:v>
                </c:pt>
              </c:numCache>
            </c:numRef>
          </c:yVal>
          <c:smooth val="0"/>
          <c:extLst>
            <c:ext xmlns:c16="http://schemas.microsoft.com/office/drawing/2014/chart" uri="{C3380CC4-5D6E-409C-BE32-E72D297353CC}">
              <c16:uniqueId val="{00000000-AC05-4C4E-8DE7-C5E5A9A02A40}"/>
            </c:ext>
          </c:extLst>
        </c:ser>
        <c:dLbls>
          <c:showLegendKey val="0"/>
          <c:showVal val="0"/>
          <c:showCatName val="0"/>
          <c:showSerName val="0"/>
          <c:showPercent val="0"/>
          <c:showBubbleSize val="0"/>
        </c:dLbls>
        <c:axId val="1360819007"/>
        <c:axId val="1360808927"/>
      </c:scatterChart>
      <c:valAx>
        <c:axId val="1360819007"/>
        <c:scaling>
          <c:orientation val="minMax"/>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75000"/>
                      </a:schemeClr>
                    </a:solidFill>
                    <a:latin typeface="+mn-lt"/>
                    <a:ea typeface="+mn-ea"/>
                    <a:cs typeface="+mn-cs"/>
                  </a:defRPr>
                </a:pPr>
                <a:r>
                  <a:rPr lang="en-US"/>
                  <a:t>REVIEWS</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7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KE"/>
          </a:p>
        </c:txPr>
        <c:crossAx val="1360808927"/>
        <c:crosses val="autoZero"/>
        <c:crossBetween val="midCat"/>
      </c:valAx>
      <c:valAx>
        <c:axId val="1360808927"/>
        <c:scaling>
          <c:orientation val="minMax"/>
        </c:scaling>
        <c:delete val="0"/>
        <c:axPos val="l"/>
        <c:majorGridlines>
          <c:spPr>
            <a:ln w="9525" cap="flat" cmpd="sng" algn="ctr">
              <a:solidFill>
                <a:schemeClr val="lt1">
                  <a:lumMod val="95000"/>
                  <a:alpha val="10000"/>
                </a:schemeClr>
              </a:solidFill>
              <a:round/>
            </a:ln>
            <a:effectLst/>
          </c:spPr>
        </c:majorGridlines>
        <c:numFmt formatCode="0.0"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KE"/>
          </a:p>
        </c:txPr>
        <c:crossAx val="136081900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[ERIC MWANGI EXCEL ASSIGNMENT 1.xlsx]PIVOTS!Top products by rating category </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Products by Rating</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barChart>
        <c:barDir val="bar"/>
        <c:grouping val="clustered"/>
        <c:varyColors val="0"/>
        <c:ser>
          <c:idx val="0"/>
          <c:order val="0"/>
          <c:tx>
            <c:strRef>
              <c:f>PIVOTS!$B$35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PIVOTS!$A$36:$A$46</c:f>
              <c:strCache>
                <c:ptCount val="10"/>
                <c:pt idx="0">
                  <c:v>40cm Gold DIY Acrylic Wall Sticker Clock</c:v>
                </c:pt>
                <c:pt idx="1">
                  <c:v>Anti-Skid Absorbent Insulation Coaster  For Home Office</c:v>
                </c:pt>
                <c:pt idx="2">
                  <c:v>Bedroom Simple Floor Hanging Clothes Rack Single Pole Hat Rack - White</c:v>
                </c:pt>
                <c:pt idx="3">
                  <c:v>Classic Black Cat Cotton Hemp Pillow Case For Home Car</c:v>
                </c:pt>
                <c:pt idx="4">
                  <c:v>DIY File Folder, Office Drawer File Holder, Pen Holder, Desktop Storage Rack</c:v>
                </c:pt>
                <c:pt idx="5">
                  <c:v>Konka Healty Electric Kettle, 24-hour Heat Preservation,1.5L,800W, White</c:v>
                </c:pt>
                <c:pt idx="6">
                  <c:v>LASA Aluminum Folding Truck Hand Cart - 68kg Max</c:v>
                </c:pt>
                <c:pt idx="7">
                  <c:v>LASA FOLDING TABLE SERVING STAND</c:v>
                </c:pt>
                <c:pt idx="8">
                  <c:v>Peacock  Throw Pillow Cushion Case For Home Car</c:v>
                </c:pt>
                <c:pt idx="9">
                  <c:v>Portable Home Small Air Humidifier 3-Speed Fan - Green</c:v>
                </c:pt>
              </c:strCache>
            </c:strRef>
          </c:cat>
          <c:val>
            <c:numRef>
              <c:f>PIVOTS!$B$36:$B$46</c:f>
              <c:numCache>
                <c:formatCode>General</c:formatCode>
                <c:ptCount val="10"/>
                <c:pt idx="0">
                  <c:v>4.8</c:v>
                </c:pt>
                <c:pt idx="1">
                  <c:v>5</c:v>
                </c:pt>
                <c:pt idx="2">
                  <c:v>5</c:v>
                </c:pt>
                <c:pt idx="3">
                  <c:v>5</c:v>
                </c:pt>
                <c:pt idx="4">
                  <c:v>5</c:v>
                </c:pt>
                <c:pt idx="5">
                  <c:v>5</c:v>
                </c:pt>
                <c:pt idx="6">
                  <c:v>5</c:v>
                </c:pt>
                <c:pt idx="7">
                  <c:v>4.8</c:v>
                </c:pt>
                <c:pt idx="8">
                  <c:v>5</c:v>
                </c:pt>
                <c:pt idx="9">
                  <c:v>4.8</c:v>
                </c:pt>
              </c:numCache>
            </c:numRef>
          </c:val>
          <c:extLst>
            <c:ext xmlns:c16="http://schemas.microsoft.com/office/drawing/2014/chart" uri="{C3380CC4-5D6E-409C-BE32-E72D297353CC}">
              <c16:uniqueId val="{00000014-FB19-44F3-BC61-1699CC6D3E43}"/>
            </c:ext>
          </c:extLst>
        </c:ser>
        <c:dLbls>
          <c:dLblPos val="inEnd"/>
          <c:showLegendKey val="0"/>
          <c:showVal val="1"/>
          <c:showCatName val="0"/>
          <c:showSerName val="0"/>
          <c:showPercent val="0"/>
          <c:showBubbleSize val="0"/>
        </c:dLbls>
        <c:gapWidth val="115"/>
        <c:overlap val="-20"/>
        <c:axId val="988870223"/>
        <c:axId val="988880303"/>
      </c:barChart>
      <c:valAx>
        <c:axId val="988880303"/>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988870223"/>
        <c:crossBetween val="between"/>
      </c:valAx>
      <c:catAx>
        <c:axId val="988870223"/>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988880303"/>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[ERIC MWANGI EXCEL ASSIGNMENT 1.xlsx]PIVOTS! Top products by number of reviews </c:name>
    <c:fmtId val="11"/>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US"/>
              <a:t>Number</a:t>
            </a:r>
            <a:r>
              <a:rPr lang="en-US" baseline="0"/>
              <a:t> of reviews</a:t>
            </a:r>
          </a:p>
        </c:rich>
      </c:tx>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KE"/>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circle"/>
          <c:size val="6"/>
          <c:spPr>
            <a:solidFill>
              <a:schemeClr val="accent1"/>
            </a:solidFill>
            <a:ln w="9525">
              <a:solidFill>
                <a:schemeClr val="dk1">
                  <a:lumMod val="75000"/>
                  <a:lumOff val="25000"/>
                </a:schemeClr>
              </a:solidFill>
            </a:ln>
            <a:effectLst/>
          </c:spPr>
        </c:marker>
        <c:dLbl>
          <c:idx val="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PIVOTS!$I$3</c:f>
              <c:strCache>
                <c:ptCount val="1"/>
                <c:pt idx="0">
                  <c:v>Total</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K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PIVOTS!$H$4:$H$14</c:f>
              <c:strCache>
                <c:ptCount val="10"/>
                <c:pt idx="0">
                  <c:v>100 Pcs Crochet Hook Tool Set Knitting Hook Set With Box</c:v>
                </c:pt>
                <c:pt idx="1">
                  <c:v>120W Cordless Vacuum Cleaners Handheld Electric Vacuum Cleaner</c:v>
                </c:pt>
                <c:pt idx="2">
                  <c:v>137 Pieces Cake Decorating Tool Set Baking Supplies</c:v>
                </c:pt>
                <c:pt idx="3">
                  <c:v>3D Waterproof EVA Plastic Shower Curtain 1.8*2Mtrs</c:v>
                </c:pt>
                <c:pt idx="4">
                  <c:v>52 Pieces Cake Decorating Tool Set Gift Kit Baking Supplies</c:v>
                </c:pt>
                <c:pt idx="5">
                  <c:v>53 Pieces/Set Yarn Knitting Crochet Hooks With Bag - Pansies</c:v>
                </c:pt>
                <c:pt idx="6">
                  <c:v>53Pcs/Set Yarn Knitting Crochet Hooks With Bag - Fortune Cat</c:v>
                </c:pt>
                <c:pt idx="7">
                  <c:v>Electronic Digital Display Vernier Caliper</c:v>
                </c:pt>
                <c:pt idx="8">
                  <c:v>Portable Mini Cordless Car Vacuum Cleaner - Blue</c:v>
                </c:pt>
                <c:pt idx="9">
                  <c:v>Punch-free Great Load Bearing Bathroom Storage Rack Wall Shelf-White</c:v>
                </c:pt>
              </c:strCache>
            </c:strRef>
          </c:cat>
          <c:val>
            <c:numRef>
              <c:f>PIVOTS!$I$4:$I$14</c:f>
              <c:numCache>
                <c:formatCode>General</c:formatCode>
                <c:ptCount val="10"/>
                <c:pt idx="0">
                  <c:v>39</c:v>
                </c:pt>
                <c:pt idx="1">
                  <c:v>69</c:v>
                </c:pt>
                <c:pt idx="2">
                  <c:v>55</c:v>
                </c:pt>
                <c:pt idx="3">
                  <c:v>44</c:v>
                </c:pt>
                <c:pt idx="4">
                  <c:v>20</c:v>
                </c:pt>
                <c:pt idx="5">
                  <c:v>32</c:v>
                </c:pt>
                <c:pt idx="6">
                  <c:v>20</c:v>
                </c:pt>
                <c:pt idx="7">
                  <c:v>49</c:v>
                </c:pt>
                <c:pt idx="8">
                  <c:v>24</c:v>
                </c:pt>
                <c:pt idx="9">
                  <c:v>36</c:v>
                </c:pt>
              </c:numCache>
            </c:numRef>
          </c:val>
          <c:extLst>
            <c:ext xmlns:c16="http://schemas.microsoft.com/office/drawing/2014/chart" uri="{C3380CC4-5D6E-409C-BE32-E72D297353CC}">
              <c16:uniqueId val="{00000000-1022-43DC-8042-B7212CFB177E}"/>
            </c:ext>
          </c:extLst>
        </c:ser>
        <c:dLbls>
          <c:showLegendKey val="0"/>
          <c:showVal val="1"/>
          <c:showCatName val="0"/>
          <c:showSerName val="0"/>
          <c:showPercent val="0"/>
          <c:showBubbleSize val="0"/>
        </c:dLbls>
        <c:gapWidth val="84"/>
        <c:gapDepth val="53"/>
        <c:shape val="box"/>
        <c:axId val="1085280047"/>
        <c:axId val="1085280527"/>
        <c:axId val="0"/>
      </c:bar3DChart>
      <c:catAx>
        <c:axId val="108528004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KE"/>
          </a:p>
        </c:txPr>
        <c:crossAx val="1085280527"/>
        <c:crosses val="autoZero"/>
        <c:auto val="1"/>
        <c:lblAlgn val="ctr"/>
        <c:lblOffset val="100"/>
        <c:noMultiLvlLbl val="0"/>
      </c:catAx>
      <c:valAx>
        <c:axId val="1085280527"/>
        <c:scaling>
          <c:orientation val="minMax"/>
        </c:scaling>
        <c:delete val="1"/>
        <c:axPos val="l"/>
        <c:numFmt formatCode="General" sourceLinked="1"/>
        <c:majorTickMark val="out"/>
        <c:minorTickMark val="none"/>
        <c:tickLblPos val="nextTo"/>
        <c:crossAx val="10852800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[ERIC MWANGI EXCEL ASSIGNMENT 1.xlsx]PIVOTS!Top products by discount category</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DISCOUNT</a:t>
            </a:r>
            <a:r>
              <a:rPr lang="en-US" baseline="0"/>
              <a: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PIVOTS!$B$22</c:f>
              <c:strCache>
                <c:ptCount val="1"/>
                <c:pt idx="0">
                  <c:v>Total</c:v>
                </c:pt>
              </c:strCache>
            </c:strRef>
          </c:tx>
          <c:spPr>
            <a:solidFill>
              <a:schemeClr val="accent1"/>
            </a:solidFill>
            <a:ln>
              <a:noFill/>
            </a:ln>
            <a:effectLst/>
          </c:spPr>
          <c:invertIfNegative val="0"/>
          <c:cat>
            <c:strRef>
              <c:f>PIVOTS!$A$23:$A$33</c:f>
              <c:strCache>
                <c:ptCount val="10"/>
                <c:pt idx="0">
                  <c:v>3PCS Single Head Knitting Crochet Sweater Needle Set</c:v>
                </c:pt>
                <c:pt idx="1">
                  <c:v>5-PCS Stainless Steel Cooking Pot Set With Steamed Slices</c:v>
                </c:pt>
                <c:pt idx="2">
                  <c:v>6 In 1 Bottle Can Opener Multifunctional Easy Opener</c:v>
                </c:pt>
                <c:pt idx="3">
                  <c:v>Angle Measuring Tool Full Metal Multi Angle Measuring Tool</c:v>
                </c:pt>
                <c:pt idx="4">
                  <c:v>Classic Black Cat Cotton Hemp Pillow Case For Home Car</c:v>
                </c:pt>
                <c:pt idx="5">
                  <c:v>Creative Owl Shape Keychain Black</c:v>
                </c:pt>
                <c:pt idx="6">
                  <c:v>LASA 3 Tier Bamboo Shoe Bench Storage Shelf</c:v>
                </c:pt>
                <c:pt idx="7">
                  <c:v>LASA FOLDING TABLE SERVING STAND</c:v>
                </c:pt>
                <c:pt idx="8">
                  <c:v>Mythco 120COB Solar Wall Ligt With Motion Sensor And Remote Control 3 Modes</c:v>
                </c:pt>
                <c:pt idx="9">
                  <c:v>Simple Metal Dog Art Sculpture Decoration For Home Office</c:v>
                </c:pt>
              </c:strCache>
            </c:strRef>
          </c:cat>
          <c:val>
            <c:numRef>
              <c:f>PIVOTS!$B$23:$B$33</c:f>
              <c:numCache>
                <c:formatCode>0%</c:formatCode>
                <c:ptCount val="10"/>
                <c:pt idx="0">
                  <c:v>0.53</c:v>
                </c:pt>
                <c:pt idx="1">
                  <c:v>0.55000000000000004</c:v>
                </c:pt>
                <c:pt idx="2">
                  <c:v>0.64</c:v>
                </c:pt>
                <c:pt idx="3">
                  <c:v>0.98</c:v>
                </c:pt>
                <c:pt idx="4">
                  <c:v>0.53</c:v>
                </c:pt>
                <c:pt idx="5">
                  <c:v>1.1000000000000001</c:v>
                </c:pt>
                <c:pt idx="6">
                  <c:v>0.54</c:v>
                </c:pt>
                <c:pt idx="7">
                  <c:v>0.55000000000000004</c:v>
                </c:pt>
                <c:pt idx="8">
                  <c:v>0.54</c:v>
                </c:pt>
                <c:pt idx="9">
                  <c:v>1</c:v>
                </c:pt>
              </c:numCache>
            </c:numRef>
          </c:val>
          <c:extLst>
            <c:ext xmlns:c16="http://schemas.microsoft.com/office/drawing/2014/chart" uri="{C3380CC4-5D6E-409C-BE32-E72D297353CC}">
              <c16:uniqueId val="{00000000-3A8A-4D6D-899C-3890E29C8AB2}"/>
            </c:ext>
          </c:extLst>
        </c:ser>
        <c:dLbls>
          <c:showLegendKey val="0"/>
          <c:showVal val="0"/>
          <c:showCatName val="0"/>
          <c:showSerName val="0"/>
          <c:showPercent val="0"/>
          <c:showBubbleSize val="0"/>
        </c:dLbls>
        <c:gapWidth val="219"/>
        <c:overlap val="-27"/>
        <c:axId val="1085301167"/>
        <c:axId val="1085303567"/>
      </c:barChart>
      <c:catAx>
        <c:axId val="1085301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085303567"/>
        <c:crosses val="autoZero"/>
        <c:auto val="1"/>
        <c:lblAlgn val="ctr"/>
        <c:lblOffset val="100"/>
        <c:noMultiLvlLbl val="0"/>
      </c:catAx>
      <c:valAx>
        <c:axId val="108530356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0853011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tx>
        <cx:txData>
          <cx:v>Discount % vs Reviews</cx:v>
        </cx:txData>
      </cx:tx>
      <cx:txPr>
        <a:bodyPr rot="0" spcFirstLastPara="1" vertOverflow="ellipsis" vert="horz" wrap="square" lIns="38100" tIns="19050" rIns="38100" bIns="19050" anchor="ctr" anchorCtr="1" compatLnSpc="0"/>
        <a:lstStyle/>
        <a:p>
          <a:pPr algn="ctr" rtl="0">
            <a:defRPr sz="1500" b="1" i="0" u="none" strike="noStrike" kern="1200" cap="all" spc="100" normalizeH="0" baseline="0">
              <a:solidFill>
                <a:sysClr val="window" lastClr="FFFFFF"/>
              </a:solidFill>
              <a:latin typeface="+mn-lt"/>
              <a:ea typeface="+mn-ea"/>
              <a:cs typeface="+mn-cs"/>
            </a:defRPr>
          </a:pPr>
          <a:r>
            <a:rPr kumimoji="0" lang="en-US" sz="1500" b="1" i="0" u="none" strike="noStrike" kern="1200" cap="all" spc="100" normalizeH="0" baseline="0" noProof="0">
              <a:ln>
                <a:noFill/>
              </a:ln>
              <a:solidFill>
                <a:sysClr val="window" lastClr="FFFFFF"/>
              </a:solidFill>
              <a:effectLst/>
              <a:uLnTx/>
              <a:uFillTx/>
              <a:latin typeface="Calibri" panose="020F0502020204030204"/>
            </a:rPr>
            <a:t>Discount % vs Reviews</a:t>
          </a:r>
        </a:p>
      </cx:txPr>
    </cx:title>
    <cx:plotArea>
      <cx:plotAreaRegion>
        <cx:series layoutId="clusteredColumn" uniqueId="{A911FB07-E95A-4DAD-92A5-D952F242444E}">
          <cx:tx>
            <cx:txData>
              <cx:f>_xlchart.v1.1</cx:f>
              <cx:v>Review</cx:v>
            </cx:txData>
          </cx:tx>
          <cx:dataId val="0"/>
          <cx:layoutPr>
            <cx:binning intervalClosed="r"/>
          </cx:layoutPr>
        </cx:series>
      </cx:plotAreaRegion>
      <cx:axis id="0">
        <cx:catScaling gapWidth="0"/>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70">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48">
  <cs:axisTitle>
    <cs:lnRef idx="0"/>
    <cs:fillRef idx="0"/>
    <cs:effectRef idx="0"/>
    <cs:fontRef idx="minor">
      <a:schemeClr val="lt1">
        <a:lumMod val="75000"/>
      </a:schemeClr>
    </cs:fontRef>
    <cs:defRPr sz="900" b="1" kern="1200" cap="all"/>
  </cs:axisTitle>
  <cs:categoryAxis>
    <cs:lnRef idx="0"/>
    <cs:fillRef idx="0"/>
    <cs:effectRef idx="0"/>
    <cs:fontRef idx="minor">
      <a:schemeClr val="lt1">
        <a:lumMod val="75000"/>
      </a:schemeClr>
    </cs:fontRef>
    <cs:spPr>
      <a:ln w="9525" cap="flat" cmpd="sng" algn="ctr">
        <a:solidFill>
          <a:schemeClr val="lt1">
            <a:lumMod val="50000"/>
          </a:schemeClr>
        </a:solidFill>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spPr>
      <a:ln w="9525" cap="flat" cmpd="sng" algn="ctr">
        <a:solidFill>
          <a:schemeClr val="lt1">
            <a:lumMod val="50000"/>
          </a:schemeClr>
        </a:solidFill>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75000"/>
      </a:schemeClr>
    </cs:fontRef>
    <cs:spPr>
      <a:ln w="9525" cap="flat" cmpd="sng" algn="ctr">
        <a:solidFill>
          <a:schemeClr val="lt1">
            <a:lumMod val="50000"/>
          </a:schemeClr>
        </a:solidFill>
      </a:ln>
    </cs:spPr>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microsoft.com/office/2014/relationships/chartEx" Target="../charts/chartEx1.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31750</xdr:rowOff>
    </xdr:from>
    <xdr:to>
      <xdr:col>5</xdr:col>
      <xdr:colOff>31750</xdr:colOff>
      <xdr:row>6</xdr:row>
      <xdr:rowOff>31750</xdr:rowOff>
    </xdr:to>
    <xdr:sp macro="" textlink="PIVOTS!G4">
      <xdr:nvSpPr>
        <xdr:cNvPr id="19" name="Rectangle: Rounded Corners 18">
          <a:extLst>
            <a:ext uri="{FF2B5EF4-FFF2-40B4-BE49-F238E27FC236}">
              <a16:creationId xmlns:a16="http://schemas.microsoft.com/office/drawing/2014/main" id="{186D4175-EDBC-424F-886B-47D62A30A7E4}"/>
            </a:ext>
          </a:extLst>
        </xdr:cNvPr>
        <xdr:cNvSpPr/>
      </xdr:nvSpPr>
      <xdr:spPr>
        <a:xfrm>
          <a:off x="7315200" y="31750"/>
          <a:ext cx="2317750" cy="914400"/>
        </a:xfrm>
        <a:prstGeom prst="roundRect">
          <a:avLst/>
        </a:prstGeom>
        <a:solidFill>
          <a:schemeClr val="bg2">
            <a:lumMod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r"/>
          <a:fld id="{BB740057-7FE7-4622-A223-F2FA3ACC0AB6}" type="TxLink">
            <a:rPr lang="en-US" sz="3600" b="0" i="0" u="none" strike="noStrike" cap="none" spc="0">
              <a:ln w="0"/>
              <a:gradFill>
                <a:gsLst>
                  <a:gs pos="21000">
                    <a:srgbClr val="53575C"/>
                  </a:gs>
                  <a:gs pos="88000">
                    <a:srgbClr val="C5C7CA"/>
                  </a:gs>
                </a:gsLst>
                <a:lin ang="5400000"/>
              </a:gradFill>
              <a:effectLst/>
              <a:latin typeface="Verdana" panose="020B0604030504040204" pitchFamily="34" charset="0"/>
              <a:ea typeface="Verdana" panose="020B0604030504040204" pitchFamily="34" charset="0"/>
            </a:rPr>
            <a:t>112</a:t>
          </a:fld>
          <a:endParaRPr lang="en-KE" sz="28700" b="0" cap="none" spc="0">
            <a:ln w="0"/>
            <a:gradFill>
              <a:gsLst>
                <a:gs pos="21000">
                  <a:srgbClr val="53575C"/>
                </a:gs>
                <a:gs pos="88000">
                  <a:srgbClr val="C5C7CA"/>
                </a:gs>
              </a:gsLst>
              <a:lin ang="5400000"/>
            </a:gradFill>
            <a:effectLst/>
            <a:latin typeface="Verdana" panose="020B0604030504040204" pitchFamily="34" charset="0"/>
            <a:ea typeface="Verdana" panose="020B0604030504040204" pitchFamily="34" charset="0"/>
          </a:endParaRPr>
        </a:p>
      </xdr:txBody>
    </xdr:sp>
    <xdr:clientData/>
  </xdr:twoCellAnchor>
  <xdr:twoCellAnchor>
    <xdr:from>
      <xdr:col>19</xdr:col>
      <xdr:colOff>349250</xdr:colOff>
      <xdr:row>18</xdr:row>
      <xdr:rowOff>114300</xdr:rowOff>
    </xdr:from>
    <xdr:to>
      <xdr:col>27</xdr:col>
      <xdr:colOff>450849</xdr:colOff>
      <xdr:row>32</xdr:row>
      <xdr:rowOff>38100</xdr:rowOff>
    </xdr:to>
    <mc:AlternateContent xmlns:mc="http://schemas.openxmlformats.org/markup-compatibility/2006">
      <mc:Choice xmlns:cx1="http://schemas.microsoft.com/office/drawing/2015/9/8/chartex" Requires="cx1">
        <xdr:graphicFrame macro="">
          <xdr:nvGraphicFramePr>
            <xdr:cNvPr id="2" name="Chart 2">
              <a:extLst>
                <a:ext uri="{FF2B5EF4-FFF2-40B4-BE49-F238E27FC236}">
                  <a16:creationId xmlns:a16="http://schemas.microsoft.com/office/drawing/2014/main" id="{67B13C7A-9D26-1017-B61B-B4E10573F6C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9036050" y="2857500"/>
              <a:ext cx="3759199" cy="2057400"/>
            </a:xfrm>
            <a:prstGeom prst="rect">
              <a:avLst/>
            </a:prstGeom>
            <a:solidFill>
              <a:prstClr val="white"/>
            </a:solidFill>
            <a:ln w="1">
              <a:solidFill>
                <a:prstClr val="green"/>
              </a:solidFill>
            </a:ln>
          </xdr:spPr>
          <xdr:txBody>
            <a:bodyPr vertOverflow="clip" horzOverflow="clip"/>
            <a:lstStyle/>
            <a:p>
              <a:r>
                <a:rPr lang="en-KE"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19</xdr:col>
      <xdr:colOff>234951</xdr:colOff>
      <xdr:row>1</xdr:row>
      <xdr:rowOff>146050</xdr:rowOff>
    </xdr:from>
    <xdr:to>
      <xdr:col>27</xdr:col>
      <xdr:colOff>323850</xdr:colOff>
      <xdr:row>15</xdr:row>
      <xdr:rowOff>144992</xdr:rowOff>
    </xdr:to>
    <xdr:graphicFrame macro="">
      <xdr:nvGraphicFramePr>
        <xdr:cNvPr id="3" name="Chart 3">
          <a:extLst>
            <a:ext uri="{FF2B5EF4-FFF2-40B4-BE49-F238E27FC236}">
              <a16:creationId xmlns:a16="http://schemas.microsoft.com/office/drawing/2014/main" id="{011189FC-F96C-011E-CB4C-3A4F1FB9AF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101600</xdr:colOff>
      <xdr:row>0</xdr:row>
      <xdr:rowOff>120650</xdr:rowOff>
    </xdr:from>
    <xdr:to>
      <xdr:col>4</xdr:col>
      <xdr:colOff>336550</xdr:colOff>
      <xdr:row>2</xdr:row>
      <xdr:rowOff>44450</xdr:rowOff>
    </xdr:to>
    <xdr:sp macro="" textlink="PIVOTS!F3">
      <xdr:nvSpPr>
        <xdr:cNvPr id="20" name="TextBox 19">
          <a:extLst>
            <a:ext uri="{FF2B5EF4-FFF2-40B4-BE49-F238E27FC236}">
              <a16:creationId xmlns:a16="http://schemas.microsoft.com/office/drawing/2014/main" id="{B8062A29-3E91-08D2-8265-E0604FAA5F22}"/>
            </a:ext>
          </a:extLst>
        </xdr:cNvPr>
        <xdr:cNvSpPr txBox="1"/>
      </xdr:nvSpPr>
      <xdr:spPr>
        <a:xfrm>
          <a:off x="7416800" y="120650"/>
          <a:ext cx="206375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scene3d>
            <a:camera prst="orthographicFront"/>
            <a:lightRig rig="harsh" dir="t"/>
          </a:scene3d>
          <a:sp3d extrusionH="57150" prstMaterial="matte">
            <a:bevelT w="63500" h="12700" prst="angle"/>
            <a:contourClr>
              <a:schemeClr val="bg1">
                <a:lumMod val="65000"/>
              </a:schemeClr>
            </a:contourClr>
          </a:sp3d>
        </a:bodyPr>
        <a:lstStyle/>
        <a:p>
          <a:fld id="{BBF1BC0E-4EB0-43EE-ABB1-199986607FA3}" type="TxLink">
            <a:rPr lang="en-US" sz="900" b="1" i="0" u="none" strike="noStrike" cap="none" spc="0">
              <a:ln/>
              <a:solidFill>
                <a:schemeClr val="accent3"/>
              </a:solidFill>
              <a:effectLst/>
              <a:latin typeface="Verdana" panose="020B0604030504040204" pitchFamily="34" charset="0"/>
              <a:ea typeface="Verdana" panose="020B0604030504040204" pitchFamily="34" charset="0"/>
            </a:rPr>
            <a:t>Number of products </a:t>
          </a:fld>
          <a:endParaRPr lang="en-KE" sz="1200" b="1" cap="none" spc="0">
            <a:ln/>
            <a:solidFill>
              <a:schemeClr val="accent3"/>
            </a:solidFill>
            <a:effectLst/>
            <a:latin typeface="Verdana" panose="020B0604030504040204" pitchFamily="34" charset="0"/>
            <a:ea typeface="Verdana" panose="020B0604030504040204" pitchFamily="34" charset="0"/>
          </a:endParaRPr>
        </a:p>
      </xdr:txBody>
    </xdr:sp>
    <xdr:clientData/>
  </xdr:twoCellAnchor>
  <xdr:twoCellAnchor>
    <xdr:from>
      <xdr:col>0</xdr:col>
      <xdr:colOff>0</xdr:colOff>
      <xdr:row>6</xdr:row>
      <xdr:rowOff>107950</xdr:rowOff>
    </xdr:from>
    <xdr:to>
      <xdr:col>5</xdr:col>
      <xdr:colOff>31750</xdr:colOff>
      <xdr:row>12</xdr:row>
      <xdr:rowOff>107950</xdr:rowOff>
    </xdr:to>
    <xdr:sp macro="" textlink="PIVOTS!G7">
      <xdr:nvSpPr>
        <xdr:cNvPr id="21" name="Rectangle: Rounded Corners 20">
          <a:extLst>
            <a:ext uri="{FF2B5EF4-FFF2-40B4-BE49-F238E27FC236}">
              <a16:creationId xmlns:a16="http://schemas.microsoft.com/office/drawing/2014/main" id="{7E213508-F687-45BB-900E-6FCA9BDFE1F9}"/>
            </a:ext>
          </a:extLst>
        </xdr:cNvPr>
        <xdr:cNvSpPr/>
      </xdr:nvSpPr>
      <xdr:spPr>
        <a:xfrm>
          <a:off x="7315200" y="1022350"/>
          <a:ext cx="2317750" cy="914400"/>
        </a:xfrm>
        <a:prstGeom prst="roundRect">
          <a:avLst/>
        </a:prstGeom>
        <a:solidFill>
          <a:schemeClr val="bg2">
            <a:lumMod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r"/>
          <a:fld id="{CF02D9A0-A4D5-47AC-BA48-2CBD34DF4773}" type="TxLink">
            <a:rPr lang="en-US" sz="3600" b="0" i="0" u="none" strike="noStrike" cap="none" spc="0">
              <a:ln w="0"/>
              <a:gradFill>
                <a:gsLst>
                  <a:gs pos="21000">
                    <a:srgbClr val="53575C"/>
                  </a:gs>
                  <a:gs pos="88000">
                    <a:srgbClr val="C5C7CA"/>
                  </a:gs>
                </a:gsLst>
                <a:lin ang="5400000"/>
              </a:gradFill>
              <a:effectLst/>
              <a:latin typeface="Verdana" panose="020B0604030504040204" pitchFamily="34" charset="0"/>
              <a:ea typeface="Verdana" panose="020B0604030504040204" pitchFamily="34" charset="0"/>
            </a:rPr>
            <a:t>37%</a:t>
          </a:fld>
          <a:endParaRPr lang="en-KE" sz="307000" b="0" cap="none" spc="0">
            <a:ln w="0"/>
            <a:gradFill>
              <a:gsLst>
                <a:gs pos="21000">
                  <a:srgbClr val="53575C"/>
                </a:gs>
                <a:gs pos="88000">
                  <a:srgbClr val="C5C7CA"/>
                </a:gs>
              </a:gsLst>
              <a:lin ang="5400000"/>
            </a:gradFill>
            <a:effectLst/>
            <a:latin typeface="Verdana" panose="020B0604030504040204" pitchFamily="34" charset="0"/>
            <a:ea typeface="Verdana" panose="020B0604030504040204" pitchFamily="34" charset="0"/>
          </a:endParaRPr>
        </a:p>
      </xdr:txBody>
    </xdr:sp>
    <xdr:clientData/>
  </xdr:twoCellAnchor>
  <xdr:twoCellAnchor>
    <xdr:from>
      <xdr:col>0</xdr:col>
      <xdr:colOff>120650</xdr:colOff>
      <xdr:row>7</xdr:row>
      <xdr:rowOff>57150</xdr:rowOff>
    </xdr:from>
    <xdr:to>
      <xdr:col>4</xdr:col>
      <xdr:colOff>19050</xdr:colOff>
      <xdr:row>8</xdr:row>
      <xdr:rowOff>127000</xdr:rowOff>
    </xdr:to>
    <xdr:sp macro="" textlink="PIVOTS!F6">
      <xdr:nvSpPr>
        <xdr:cNvPr id="22" name="TextBox 21">
          <a:extLst>
            <a:ext uri="{FF2B5EF4-FFF2-40B4-BE49-F238E27FC236}">
              <a16:creationId xmlns:a16="http://schemas.microsoft.com/office/drawing/2014/main" id="{40D5A408-01E0-2EEC-576F-92479C5A5F20}"/>
            </a:ext>
          </a:extLst>
        </xdr:cNvPr>
        <xdr:cNvSpPr txBox="1"/>
      </xdr:nvSpPr>
      <xdr:spPr>
        <a:xfrm>
          <a:off x="7435850" y="1123950"/>
          <a:ext cx="1727200" cy="222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scene3d>
            <a:camera prst="orthographicFront"/>
            <a:lightRig rig="harsh" dir="t"/>
          </a:scene3d>
          <a:sp3d extrusionH="57150" prstMaterial="matte">
            <a:bevelT w="63500" h="12700" prst="angle"/>
            <a:contourClr>
              <a:schemeClr val="bg1">
                <a:lumMod val="65000"/>
              </a:schemeClr>
            </a:contourClr>
          </a:sp3d>
        </a:bodyPr>
        <a:lstStyle/>
        <a:p>
          <a:fld id="{F841D617-5F10-41A9-A126-B114BEB97747}" type="TxLink">
            <a:rPr lang="en-US" sz="900" b="1" i="0" u="none" strike="noStrike" cap="none" spc="0">
              <a:ln/>
              <a:solidFill>
                <a:schemeClr val="accent3"/>
              </a:solidFill>
              <a:effectLst/>
              <a:latin typeface="Verdana" panose="020B0604030504040204" pitchFamily="34" charset="0"/>
              <a:ea typeface="Verdana" panose="020B0604030504040204" pitchFamily="34" charset="0"/>
            </a:rPr>
            <a:t>Discount Average</a:t>
          </a:fld>
          <a:endParaRPr lang="en-KE" sz="1200" b="1" cap="none" spc="0">
            <a:ln/>
            <a:solidFill>
              <a:schemeClr val="accent3"/>
            </a:solidFill>
            <a:effectLst/>
            <a:latin typeface="Verdana" panose="020B0604030504040204" pitchFamily="34" charset="0"/>
            <a:ea typeface="Verdana" panose="020B0604030504040204" pitchFamily="34" charset="0"/>
          </a:endParaRPr>
        </a:p>
      </xdr:txBody>
    </xdr:sp>
    <xdr:clientData/>
  </xdr:twoCellAnchor>
  <xdr:twoCellAnchor>
    <xdr:from>
      <xdr:col>0</xdr:col>
      <xdr:colOff>0</xdr:colOff>
      <xdr:row>13</xdr:row>
      <xdr:rowOff>38100</xdr:rowOff>
    </xdr:from>
    <xdr:to>
      <xdr:col>5</xdr:col>
      <xdr:colOff>12700</xdr:colOff>
      <xdr:row>19</xdr:row>
      <xdr:rowOff>38100</xdr:rowOff>
    </xdr:to>
    <xdr:sp macro="" textlink="PIVOTS!G10">
      <xdr:nvSpPr>
        <xdr:cNvPr id="23" name="Rectangle: Rounded Corners 22">
          <a:extLst>
            <a:ext uri="{FF2B5EF4-FFF2-40B4-BE49-F238E27FC236}">
              <a16:creationId xmlns:a16="http://schemas.microsoft.com/office/drawing/2014/main" id="{5F1FB78C-342F-455B-AFEB-5D9D0E88B5DC}"/>
            </a:ext>
          </a:extLst>
        </xdr:cNvPr>
        <xdr:cNvSpPr/>
      </xdr:nvSpPr>
      <xdr:spPr>
        <a:xfrm>
          <a:off x="7296150" y="2019300"/>
          <a:ext cx="2317750" cy="914400"/>
        </a:xfrm>
        <a:prstGeom prst="roundRect">
          <a:avLst/>
        </a:prstGeom>
        <a:solidFill>
          <a:schemeClr val="bg2">
            <a:lumMod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r"/>
          <a:fld id="{94288CDB-8B28-4B1A-BE69-D53BEDF0F568}" type="TxLink">
            <a:rPr lang="en-US" sz="3600" b="0" i="0" u="none" strike="noStrike" cap="none" spc="0">
              <a:ln w="0"/>
              <a:gradFill>
                <a:gsLst>
                  <a:gs pos="21000">
                    <a:srgbClr val="53575C"/>
                  </a:gs>
                  <a:gs pos="88000">
                    <a:srgbClr val="C5C7CA"/>
                  </a:gs>
                </a:gsLst>
                <a:lin ang="5400000"/>
              </a:gradFill>
              <a:effectLst/>
              <a:latin typeface="Verdana" panose="020B0604030504040204" pitchFamily="34" charset="0"/>
              <a:ea typeface="Verdana" panose="020B0604030504040204" pitchFamily="34" charset="0"/>
            </a:rPr>
            <a:t>723</a:t>
          </a:fld>
          <a:endParaRPr lang="en-KE" sz="3600" b="0" cap="none" spc="0">
            <a:ln w="0"/>
            <a:gradFill>
              <a:gsLst>
                <a:gs pos="21000">
                  <a:srgbClr val="53575C"/>
                </a:gs>
                <a:gs pos="88000">
                  <a:srgbClr val="C5C7CA"/>
                </a:gs>
              </a:gsLst>
              <a:lin ang="5400000"/>
            </a:gradFill>
            <a:effectLst/>
            <a:latin typeface="Verdana" panose="020B0604030504040204" pitchFamily="34" charset="0"/>
            <a:ea typeface="Verdana" panose="020B0604030504040204" pitchFamily="34" charset="0"/>
          </a:endParaRPr>
        </a:p>
      </xdr:txBody>
    </xdr:sp>
    <xdr:clientData/>
  </xdr:twoCellAnchor>
  <xdr:twoCellAnchor>
    <xdr:from>
      <xdr:col>0</xdr:col>
      <xdr:colOff>146050</xdr:colOff>
      <xdr:row>13</xdr:row>
      <xdr:rowOff>139700</xdr:rowOff>
    </xdr:from>
    <xdr:to>
      <xdr:col>4</xdr:col>
      <xdr:colOff>165100</xdr:colOff>
      <xdr:row>15</xdr:row>
      <xdr:rowOff>63500</xdr:rowOff>
    </xdr:to>
    <xdr:sp macro="" textlink="PIVOTS!F9">
      <xdr:nvSpPr>
        <xdr:cNvPr id="24" name="TextBox 23">
          <a:extLst>
            <a:ext uri="{FF2B5EF4-FFF2-40B4-BE49-F238E27FC236}">
              <a16:creationId xmlns:a16="http://schemas.microsoft.com/office/drawing/2014/main" id="{B0A27394-6778-5037-EA2A-ACF798D10745}"/>
            </a:ext>
          </a:extLst>
        </xdr:cNvPr>
        <xdr:cNvSpPr txBox="1"/>
      </xdr:nvSpPr>
      <xdr:spPr>
        <a:xfrm>
          <a:off x="7461250" y="2120900"/>
          <a:ext cx="184785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scene3d>
            <a:camera prst="orthographicFront"/>
            <a:lightRig rig="harsh" dir="t"/>
          </a:scene3d>
          <a:sp3d extrusionH="57150" prstMaterial="matte">
            <a:bevelT w="63500" h="12700" prst="angle"/>
            <a:contourClr>
              <a:schemeClr val="bg1">
                <a:lumMod val="65000"/>
              </a:schemeClr>
            </a:contourClr>
          </a:sp3d>
        </a:bodyPr>
        <a:lstStyle/>
        <a:p>
          <a:fld id="{3B8A13D5-9015-48CB-A452-E6944755137E}" type="TxLink">
            <a:rPr lang="en-US" sz="900" b="1" i="0" u="none" strike="noStrike" cap="none" spc="0">
              <a:ln/>
              <a:solidFill>
                <a:schemeClr val="accent3"/>
              </a:solidFill>
              <a:effectLst/>
              <a:latin typeface="Verdana" panose="020B0604030504040204" pitchFamily="34" charset="0"/>
              <a:ea typeface="Verdana" panose="020B0604030504040204" pitchFamily="34" charset="0"/>
            </a:rPr>
            <a:t>Number of Reviews</a:t>
          </a:fld>
          <a:endParaRPr lang="en-KE" sz="1200" b="1" cap="none" spc="0">
            <a:ln/>
            <a:solidFill>
              <a:schemeClr val="accent3"/>
            </a:solidFill>
            <a:effectLst/>
            <a:latin typeface="Verdana" panose="020B0604030504040204" pitchFamily="34" charset="0"/>
            <a:ea typeface="Verdana" panose="020B0604030504040204" pitchFamily="34" charset="0"/>
          </a:endParaRPr>
        </a:p>
      </xdr:txBody>
    </xdr:sp>
    <xdr:clientData/>
  </xdr:twoCellAnchor>
  <xdr:twoCellAnchor>
    <xdr:from>
      <xdr:col>0</xdr:col>
      <xdr:colOff>0</xdr:colOff>
      <xdr:row>19</xdr:row>
      <xdr:rowOff>120650</xdr:rowOff>
    </xdr:from>
    <xdr:to>
      <xdr:col>5</xdr:col>
      <xdr:colOff>19050</xdr:colOff>
      <xdr:row>25</xdr:row>
      <xdr:rowOff>120650</xdr:rowOff>
    </xdr:to>
    <xdr:sp macro="" textlink="PIVOTS!G13">
      <xdr:nvSpPr>
        <xdr:cNvPr id="25" name="Rectangle: Rounded Corners 24">
          <a:extLst>
            <a:ext uri="{FF2B5EF4-FFF2-40B4-BE49-F238E27FC236}">
              <a16:creationId xmlns:a16="http://schemas.microsoft.com/office/drawing/2014/main" id="{3239C233-5CC4-4B99-B85B-C96C33E658E4}"/>
            </a:ext>
          </a:extLst>
        </xdr:cNvPr>
        <xdr:cNvSpPr/>
      </xdr:nvSpPr>
      <xdr:spPr>
        <a:xfrm>
          <a:off x="7302500" y="3016250"/>
          <a:ext cx="2317750" cy="914400"/>
        </a:xfrm>
        <a:prstGeom prst="roundRect">
          <a:avLst/>
        </a:prstGeom>
        <a:solidFill>
          <a:schemeClr val="bg2">
            <a:lumMod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r"/>
          <a:fld id="{872176B6-39C6-41FB-8F17-C9A77C7B55D2}" type="TxLink">
            <a:rPr lang="en-US" sz="3600" b="0" i="0" u="none" strike="noStrike" cap="none" spc="0">
              <a:ln w="0"/>
              <a:gradFill>
                <a:gsLst>
                  <a:gs pos="21000">
                    <a:srgbClr val="53575C"/>
                  </a:gs>
                  <a:gs pos="88000">
                    <a:srgbClr val="C5C7CA"/>
                  </a:gs>
                </a:gsLst>
                <a:lin ang="5400000"/>
              </a:gradFill>
              <a:effectLst/>
              <a:latin typeface="Verdana" panose="020B0604030504040204" pitchFamily="34" charset="0"/>
              <a:ea typeface="Verdana" panose="020B0604030504040204" pitchFamily="34" charset="0"/>
            </a:rPr>
            <a:t>3.89</a:t>
          </a:fld>
          <a:endParaRPr lang="en-KE" sz="3600" b="0" cap="none" spc="0">
            <a:ln w="0"/>
            <a:gradFill>
              <a:gsLst>
                <a:gs pos="21000">
                  <a:srgbClr val="53575C"/>
                </a:gs>
                <a:gs pos="88000">
                  <a:srgbClr val="C5C7CA"/>
                </a:gs>
              </a:gsLst>
              <a:lin ang="5400000"/>
            </a:gradFill>
            <a:effectLst/>
            <a:latin typeface="Verdana" panose="020B0604030504040204" pitchFamily="34" charset="0"/>
            <a:ea typeface="Verdana" panose="020B0604030504040204" pitchFamily="34" charset="0"/>
          </a:endParaRPr>
        </a:p>
      </xdr:txBody>
    </xdr:sp>
    <xdr:clientData/>
  </xdr:twoCellAnchor>
  <xdr:twoCellAnchor>
    <xdr:from>
      <xdr:col>0</xdr:col>
      <xdr:colOff>114300</xdr:colOff>
      <xdr:row>20</xdr:row>
      <xdr:rowOff>88900</xdr:rowOff>
    </xdr:from>
    <xdr:to>
      <xdr:col>4</xdr:col>
      <xdr:colOff>209550</xdr:colOff>
      <xdr:row>22</xdr:row>
      <xdr:rowOff>0</xdr:rowOff>
    </xdr:to>
    <xdr:sp macro="" textlink="PIVOTS!F12">
      <xdr:nvSpPr>
        <xdr:cNvPr id="26" name="TextBox 25">
          <a:extLst>
            <a:ext uri="{FF2B5EF4-FFF2-40B4-BE49-F238E27FC236}">
              <a16:creationId xmlns:a16="http://schemas.microsoft.com/office/drawing/2014/main" id="{A6C7B837-F45A-0072-7140-49466FFE7CC7}"/>
            </a:ext>
          </a:extLst>
        </xdr:cNvPr>
        <xdr:cNvSpPr txBox="1"/>
      </xdr:nvSpPr>
      <xdr:spPr>
        <a:xfrm>
          <a:off x="7429500" y="3136900"/>
          <a:ext cx="1924050" cy="215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scene3d>
            <a:camera prst="orthographicFront"/>
            <a:lightRig rig="harsh" dir="t"/>
          </a:scene3d>
          <a:sp3d extrusionH="57150" prstMaterial="matte">
            <a:bevelT w="63500" h="12700" prst="angle"/>
            <a:contourClr>
              <a:schemeClr val="bg1">
                <a:lumMod val="65000"/>
              </a:schemeClr>
            </a:contourClr>
          </a:sp3d>
        </a:bodyPr>
        <a:lstStyle/>
        <a:p>
          <a:fld id="{A43A20EC-8B7B-4823-AB6C-6E1BC49BE0C4}" type="TxLink">
            <a:rPr lang="en-US" sz="900" b="1" i="0" u="none" strike="noStrike" cap="none" spc="0">
              <a:ln/>
              <a:solidFill>
                <a:schemeClr val="accent3"/>
              </a:solidFill>
              <a:effectLst/>
              <a:latin typeface="Verdana" panose="020B0604030504040204" pitchFamily="34" charset="0"/>
              <a:ea typeface="Verdana" panose="020B0604030504040204" pitchFamily="34" charset="0"/>
            </a:rPr>
            <a:t>Average Rating</a:t>
          </a:fld>
          <a:endParaRPr lang="en-KE" sz="1200" b="1" cap="none" spc="0">
            <a:ln/>
            <a:solidFill>
              <a:schemeClr val="accent3"/>
            </a:solidFill>
            <a:effectLst/>
            <a:latin typeface="Verdana" panose="020B0604030504040204" pitchFamily="34" charset="0"/>
            <a:ea typeface="Verdana" panose="020B0604030504040204" pitchFamily="34" charset="0"/>
          </a:endParaRPr>
        </a:p>
      </xdr:txBody>
    </xdr:sp>
    <xdr:clientData/>
  </xdr:twoCellAnchor>
  <xdr:twoCellAnchor>
    <xdr:from>
      <xdr:col>5</xdr:col>
      <xdr:colOff>254000</xdr:colOff>
      <xdr:row>0</xdr:row>
      <xdr:rowOff>133350</xdr:rowOff>
    </xdr:from>
    <xdr:to>
      <xdr:col>14</xdr:col>
      <xdr:colOff>139700</xdr:colOff>
      <xdr:row>14</xdr:row>
      <xdr:rowOff>120650</xdr:rowOff>
    </xdr:to>
    <xdr:graphicFrame macro="">
      <xdr:nvGraphicFramePr>
        <xdr:cNvPr id="27" name="Chart 11">
          <a:extLst>
            <a:ext uri="{FF2B5EF4-FFF2-40B4-BE49-F238E27FC236}">
              <a16:creationId xmlns:a16="http://schemas.microsoft.com/office/drawing/2014/main" id="{421EEF93-2C03-7B80-1DBB-465DA1E5B1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14</xdr:col>
      <xdr:colOff>114300</xdr:colOff>
      <xdr:row>0</xdr:row>
      <xdr:rowOff>107950</xdr:rowOff>
    </xdr:from>
    <xdr:to>
      <xdr:col>18</xdr:col>
      <xdr:colOff>114300</xdr:colOff>
      <xdr:row>14</xdr:row>
      <xdr:rowOff>118528</xdr:rowOff>
    </xdr:to>
    <mc:AlternateContent xmlns:mc="http://schemas.openxmlformats.org/markup-compatibility/2006">
      <mc:Choice xmlns:a14="http://schemas.microsoft.com/office/drawing/2010/main" Requires="a14">
        <xdr:graphicFrame macro="">
          <xdr:nvGraphicFramePr>
            <xdr:cNvPr id="30" name="Rating Category">
              <a:extLst>
                <a:ext uri="{FF2B5EF4-FFF2-40B4-BE49-F238E27FC236}">
                  <a16:creationId xmlns:a16="http://schemas.microsoft.com/office/drawing/2014/main" id="{C6D523C3-CC40-0462-0ED8-F48E870A993B}"/>
                </a:ext>
              </a:extLst>
            </xdr:cNvPr>
            <xdr:cNvGraphicFramePr/>
          </xdr:nvGraphicFramePr>
          <xdr:xfrm>
            <a:off x="0" y="0"/>
            <a:ext cx="0" cy="0"/>
          </xdr:xfrm>
          <a:graphic>
            <a:graphicData uri="http://schemas.microsoft.com/office/drawing/2010/slicer">
              <sle:slicer xmlns:sle="http://schemas.microsoft.com/office/drawing/2010/slicer" name="Rating Category"/>
            </a:graphicData>
          </a:graphic>
        </xdr:graphicFrame>
      </mc:Choice>
      <mc:Fallback>
        <xdr:sp macro="" textlink="">
          <xdr:nvSpPr>
            <xdr:cNvPr id="0" name=""/>
            <xdr:cNvSpPr>
              <a:spLocks noTextEdit="1"/>
            </xdr:cNvSpPr>
          </xdr:nvSpPr>
          <xdr:spPr>
            <a:xfrm>
              <a:off x="6515100" y="107950"/>
              <a:ext cx="1828800" cy="2144178"/>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102658</xdr:colOff>
      <xdr:row>16</xdr:row>
      <xdr:rowOff>25400</xdr:rowOff>
    </xdr:from>
    <xdr:to>
      <xdr:col>19</xdr:col>
      <xdr:colOff>102658</xdr:colOff>
      <xdr:row>30</xdr:row>
      <xdr:rowOff>19050</xdr:rowOff>
    </xdr:to>
    <xdr:graphicFrame macro="">
      <xdr:nvGraphicFramePr>
        <xdr:cNvPr id="31" name="Chart 12">
          <a:extLst>
            <a:ext uri="{FF2B5EF4-FFF2-40B4-BE49-F238E27FC236}">
              <a16:creationId xmlns:a16="http://schemas.microsoft.com/office/drawing/2014/main" id="{08F19842-58AD-E27D-31C0-2017B78331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5</xdr:col>
      <xdr:colOff>374650</xdr:colOff>
      <xdr:row>15</xdr:row>
      <xdr:rowOff>107950</xdr:rowOff>
    </xdr:from>
    <xdr:to>
      <xdr:col>9</xdr:col>
      <xdr:colOff>374650</xdr:colOff>
      <xdr:row>29</xdr:row>
      <xdr:rowOff>118528</xdr:rowOff>
    </xdr:to>
    <mc:AlternateContent xmlns:mc="http://schemas.openxmlformats.org/markup-compatibility/2006">
      <mc:Choice xmlns:a14="http://schemas.microsoft.com/office/drawing/2010/main" Requires="a14">
        <xdr:graphicFrame macro="">
          <xdr:nvGraphicFramePr>
            <xdr:cNvPr id="33" name="Discount Category">
              <a:extLst>
                <a:ext uri="{FF2B5EF4-FFF2-40B4-BE49-F238E27FC236}">
                  <a16:creationId xmlns:a16="http://schemas.microsoft.com/office/drawing/2014/main" id="{4888759F-62E2-C678-D907-F50045493005}"/>
                </a:ext>
              </a:extLst>
            </xdr:cNvPr>
            <xdr:cNvGraphicFramePr/>
          </xdr:nvGraphicFramePr>
          <xdr:xfrm>
            <a:off x="0" y="0"/>
            <a:ext cx="0" cy="0"/>
          </xdr:xfrm>
          <a:graphic>
            <a:graphicData uri="http://schemas.microsoft.com/office/drawing/2010/slicer">
              <sle:slicer xmlns:sle="http://schemas.microsoft.com/office/drawing/2010/slicer" name="Discount Category"/>
            </a:graphicData>
          </a:graphic>
        </xdr:graphicFrame>
      </mc:Choice>
      <mc:Fallback>
        <xdr:sp macro="" textlink="">
          <xdr:nvSpPr>
            <xdr:cNvPr id="0" name=""/>
            <xdr:cNvSpPr>
              <a:spLocks noTextEdit="1"/>
            </xdr:cNvSpPr>
          </xdr:nvSpPr>
          <xdr:spPr>
            <a:xfrm>
              <a:off x="2660650" y="2393950"/>
              <a:ext cx="1828800" cy="2144178"/>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143933</xdr:colOff>
      <xdr:row>30</xdr:row>
      <xdr:rowOff>68792</xdr:rowOff>
    </xdr:from>
    <xdr:to>
      <xdr:col>12</xdr:col>
      <xdr:colOff>143933</xdr:colOff>
      <xdr:row>48</xdr:row>
      <xdr:rowOff>68792</xdr:rowOff>
    </xdr:to>
    <xdr:graphicFrame macro="">
      <xdr:nvGraphicFramePr>
        <xdr:cNvPr id="34" name="Chart 13">
          <a:extLst>
            <a:ext uri="{FF2B5EF4-FFF2-40B4-BE49-F238E27FC236}">
              <a16:creationId xmlns:a16="http://schemas.microsoft.com/office/drawing/2014/main" id="{ED9838A1-ABB6-FB3B-33F3-32A96A35CE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06.457577083333" createdVersion="8" refreshedVersion="8" minRefreshableVersion="3" recordCount="112" xr:uid="{DBAE4C8F-F5E4-431D-AA4A-04AED0FA8802}">
  <cacheSource type="worksheet">
    <worksheetSource ref="A1:J113" sheet="Excel_jumia"/>
  </cacheSource>
  <cacheFields count="10">
    <cacheField name="Product" numFmtId="0">
      <sharedItems count="109">
        <s v="1/2/3 Seater Elastic Sofa Cover,Living Room/Home Decor Chair Cover-Grey"/>
        <s v="100 Pcs Crochet Hook Tool Set Knitting Hook Set With Box"/>
        <s v="115  Piece Set Of Multifunctional Precision Screwdrivers"/>
        <s v="12 Litre Black Insulated Lunch Box"/>
        <s v="12 Litre Insulated Lunch Box Grey"/>
        <s v="120W Cordless Vacuum Cleaners Handheld Electric Vacuum Cleaner"/>
        <s v="12V 19500rpm Handheld Electric Angle Grinder Tool - UK - Yellow/Black"/>
        <s v="13 In 1 Home Repair Tools Box Kit Set"/>
        <s v="137 Pieces Cake Decorating Tool Set Baking Supplies"/>
        <s v="1PC Refrigerator Food Seal Pocket Fridge Bags"/>
        <s v="2 Pairs Cowhide Split Leather Work Gloves.32â„‰ Or Above Welding Gloves"/>
        <s v="220V 60W Electric Soldering Iron Kits With Tools, Tips, And Multimeter"/>
        <s v="24 Grid Wall-mounted Sundries Organiser Fabric Closet Bag Storage Rack"/>
        <s v="2PCS Ice Silk Square Cushion Cover Pillowcases - 65x65cm"/>
        <s v="2pcs Solar Street Light Flood Light Outdoor"/>
        <s v="2PCS/LOT Solar LED Outdoor Intelligent Light Controlled Wall Lamp"/>
        <s v="32PCS Portable Cordless Drill Set With Cyclic Battery Drive -26 Variable Speed"/>
        <s v="380ML USB Rechargeable Portable Small Blenders And Juicers"/>
        <s v="3D Waterproof EVA Plastic Shower Curtain 1.8*2Mtrs"/>
        <s v="3PCS Rotary Scraper Thermomix For Kitchen"/>
        <s v="3PCS Single Head Knitting Crochet Sweater Needle Set"/>
        <s v="4 Piece Coloured Stainless Steel Kitchenware Set"/>
        <s v="40cm Gold DIY Acrylic Wall Sticker Clock"/>
        <s v="4M Float Switch Water Level Controller -Water Tank"/>
        <s v="4pcs Bathroom/Kitchen Towel Rack,Roll Paper Holder,Towel Bars,Hook"/>
        <s v="5 Pieces/set Of Stainless Steel Induction Cooker Pots"/>
        <s v="52 Pieces Cake Decorating Tool Set Gift Kit Baking Supplies"/>
        <s v="53 Pieces/Set Yarn Knitting Crochet Hooks With Bag - Pansies"/>
        <s v="53Pcs/Set Yarn Knitting Crochet Hooks With Bag - Fortune Cat"/>
        <s v="5m Waterproof Spherical LED String Lights Outdoor Ball Chain Lights Party Lighting Decoration Adjustable"/>
        <s v="5-PCS Stainless Steel Cooking Pot Set With Steamed Slices"/>
        <s v="6 In 1 Bottle Can Opener Multifunctional Easy Opener"/>
        <s v="6 Layers Steel Pipe Assembling Dustproof Storage Shoe Cabinet"/>
        <s v="60W Hot Melt Glue Sprayer - Efficient And Stable Glue Dispensing"/>
        <s v="7PCS Silicone Thumb Knife Finger Protector Vegetable Harvesting Knife"/>
        <s v="7-piece Set Of Storage Bags, Travel Storage Bags, Shoe Bags"/>
        <s v="8in1 Screwdriver With LED Light"/>
        <s v="9pcs Gas Mask, For Painting, Dust, Formaldehyde Grinding, Polishing"/>
        <s v="Agapeon Toothbrush Holder And Toothpaste Dispenser"/>
        <s v="Angle Measuring Tool Full Metal Multi Angle Measuring Tool"/>
        <s v="Anti-Skid Absorbent Insulation Coaster  For Home Office"/>
        <s v="Artificial Potted Flowers Room Decorative Flowers (2 Pieces)"/>
        <s v="Baby Early Education Shape And Color Cognitive Training Toys"/>
        <s v="Balloon Insert, Birthday Party Balloon Set, PU Leather"/>
        <s v="Bedroom Simple Floor Hanging Clothes Rack Single Pole Hat Rack - White"/>
        <s v="Black Simple Water Cup Wine Coaster Anti Slip Absorbent"/>
        <s v="Brush &amp; Paintbrush Cleaning Tool Pink"/>
        <s v="Car Phone Charging Stand"/>
        <s v="Cartoon Car Decoration Cute Individuality For Car Home Desk"/>
        <s v="Cartoon Embroidered Mini Towel Bear Cotton Wash Cloth Hand 4pcs"/>
        <s v="Christmas Elk Fence Yard Lawn Decorations Cute For Holidays"/>
        <s v="Christmas Fence Garden Decorations Outdoor For Holiday Home"/>
        <s v="Classic Black Cat Cotton Hemp Pillow Case For Home Car"/>
        <s v="Creative Owl Shape Keychain Black"/>
        <s v="Cushion Silicone Butt Cushion Summer Ice Cushion Honeycomb Gel Cushion"/>
        <s v="Cute Christmas Fence Garden Decorations For Holiday Home"/>
        <s v="Desk Foldable Fan Adjustable Fan Strong Wind 3 Gear Usb"/>
        <s v="DIY File Folder, Office Drawer File Holder, Pen Holder, Desktop Storage Rack"/>
        <s v="Electric LED UV Mosquito Killer Lamp, Outdoor/Indoor Fly Killer Trap Light -USB"/>
        <s v="Electronic Digital Display Vernier Caliper"/>
        <s v="Exfoliate And Exfoliate Face Towel - Black"/>
        <s v="Foldable Overbed Table/Desk"/>
        <s v="Genebre 115 In 1 Screwdriver Repairing Tool Set For IPhone Cellphone Hand Tool"/>
        <s v="Household Pineapple Peeler Peeler"/>
        <s v="Intelligent  LED Body Sensor Wireless Lighting Night Light USB"/>
        <s v="Konka Healty Electric Kettle, 24-hour Heat Preservation,1.5L,800W, White"/>
        <s v="Large Lazy Inflatable Sofa Chairs PVC Lounger Seat Bag"/>
        <s v="LASA 3 Tier Bamboo Shoe Bench Storage Shelf"/>
        <s v="LASA Aluminum Folding Truck Hand Cart - 68kg Max"/>
        <s v="LASA Digital Thermometer And Hydrometer"/>
        <s v="LASA FOLDING TABLE SERVING STAND"/>
        <s v="LASA Stainless Steel Double Wall Mount Soap Dispenser - 500ml"/>
        <s v="LED Eye Protection  Desk Lamp , Study, Reading, USB Fan - Double Pen Holder"/>
        <s v="LED Romantic Spaceship Starry Sky Projector,Children's Bedroom Night Light-Blue"/>
        <s v="LED Solar Street Light-fake Camera"/>
        <s v="LED Wall Digital Alarm Clock Study Home 12 / 24H Clock Calendar"/>
        <s v="Memory Foam Neck Pillow Cover, With Pillow Core - 50*30cm"/>
        <s v="Metal Decorative Hooks Key Hangers Entryway Wall Hooks Towel Hooks - Home"/>
        <s v="Metal Wall Clock Silver Dial Crystal Jewelry Round Home Decoration Wall Clock"/>
        <s v="Modern Sofa Throw Pillow Cover-45x45cm-Blue&amp;Red"/>
        <s v="Multifunction Laser Level With Adjustment Tripod"/>
        <s v="Multifunctional Hanging Storage Box Storage Bag (4 Layers)"/>
        <s v="MultiFunctional Storage Rack Multi-layer Bookshelf"/>
        <s v="Multi-purpose Rice Drainage Basket And Fruit And Vegetable Drainage Sieve"/>
        <s v="Mythco 120COB Solar Wall Ligt With Motion Sensor And Remote Control 3 Modes"/>
        <s v="Office Chair Lumbar Back Support Spine Posture Correction Pillow Car Cushion"/>
        <s v="Outdoor Portable Water Bottle With Medicine Box - 600ML - Black"/>
        <s v="Peacock  Throw Pillow Cushion Case For Home Car"/>
        <s v="Pen Grips For Kids Pen Grip Posture Correction Tool For Kids"/>
        <s v="Pilates Cloth Bag Waterproof Durable High Capacity Purple"/>
        <s v="Portable Home Small Air Humidifier 3-Speed Fan - Green"/>
        <s v="Portable Mini Cordless Car Vacuum Cleaner - Blue"/>
        <s v="Portable Soap Dispenser Kitchen Detergent Press Box Kitchen Tools"/>
        <s v="Portable Wardrobe Nonwoven With 3 Hanging Rods And 6 Storage Shelves"/>
        <s v="Portable Wine Table With Folding Round Table"/>
        <s v="Punch-free Great Load Bearing Bathroom Storage Rack Wall Shelf-White"/>
        <s v="Sewing Machine Needle Threader Stitch Insertion Tool Automatic Quick Sewing"/>
        <s v="Shower Cap Wide Elastic Band Cover Reusable Bashroom Cap"/>
        <s v="Shower Nozzle Cleaning Unclogging Needle Mini Crevice Small Hole Cleaning Brush"/>
        <s v="Simple Metal Dog Art Sculpture Decoration For Home Office"/>
        <s v="Thickening Multipurpose Non Stick Easy To Clean Heat Resistant Spoon Pad"/>
        <s v="VIC Wireless Vacuum Cleaner Dual Use For Home And Car 120W High Power Powerful"/>
        <s v="Wall Clock With Hidden Safe Box"/>
        <s v="Wall Mount Automatic Toothpaste Dispenser Toothbrush Holder Toothpaste Squeezer"/>
        <s v="Wall-mounted Sticker Punch-free Plug Fixer"/>
        <s v="Wall-Mounted Toothbrush Toothpaste Holder With Multiple Slots"/>
        <s v="Watercolour Gold Foil Textured Print Pillow Cover"/>
        <s v="Weighing Scale Digital Bathroom Body Fat Scale USB-Black"/>
        <s v="Wrought Iron Bathroom Shelf Wall Mounted Free Punch Toilet Rack"/>
      </sharedItems>
    </cacheField>
    <cacheField name="Current price" numFmtId="164">
      <sharedItems containsMixedTypes="1" containsNumber="1" containsInteger="1" minValue="38" maxValue="3750"/>
    </cacheField>
    <cacheField name="old price" numFmtId="164">
      <sharedItems containsMixedTypes="1" containsNumber="1" containsInteger="1" minValue="80" maxValue="6143"/>
    </cacheField>
    <cacheField name="Discounted Price" numFmtId="164">
      <sharedItems containsMixedTypes="1" containsNumber="1" containsInteger="1" minValue="24" maxValue="2585"/>
    </cacheField>
    <cacheField name="Discount" numFmtId="9">
      <sharedItems containsSemiMixedTypes="0" containsString="0" containsNumber="1" minValue="0.01" maxValue="0.64"/>
    </cacheField>
    <cacheField name="Discount Category" numFmtId="9">
      <sharedItems count="3">
        <s v="Medium"/>
        <s v="High"/>
        <s v="Low"/>
      </sharedItems>
    </cacheField>
    <cacheField name="Review" numFmtId="0">
      <sharedItems containsString="0" containsBlank="1" containsNumber="1" containsInteger="1" minValue="1" maxValue="69"/>
    </cacheField>
    <cacheField name="Ratings" numFmtId="2">
      <sharedItems/>
    </cacheField>
    <cacheField name="Rating" numFmtId="165">
      <sharedItems containsMixedTypes="1" containsNumber="1" minValue="2" maxValue="5" count="23">
        <n v="4.5"/>
        <n v="4.7"/>
        <n v="3.8"/>
        <n v="2.8"/>
        <s v=""/>
        <n v="4.5999999999999996"/>
        <n v="4"/>
        <n v="3"/>
        <n v="2.2999999999999998"/>
        <n v="3.3"/>
        <n v="4.8"/>
        <n v="2.5"/>
        <n v="4.0999999999999996"/>
        <n v="2.1"/>
        <n v="2.2000000000000002"/>
        <n v="2.6"/>
        <n v="5"/>
        <n v="4.3"/>
        <n v="4.4000000000000004"/>
        <n v="2.7"/>
        <n v="4.2"/>
        <n v="2.9"/>
        <n v="2"/>
      </sharedItems>
    </cacheField>
    <cacheField name="Rating Category" numFmtId="0">
      <sharedItems count="4">
        <s v="Excellent"/>
        <s v="Average"/>
        <s v="Poor"/>
        <s v=""/>
      </sharedItems>
    </cacheField>
  </cacheFields>
  <extLst>
    <ext xmlns:x14="http://schemas.microsoft.com/office/spreadsheetml/2009/9/main" uri="{725AE2AE-9491-48be-B2B4-4EB974FC3084}">
      <x14:pivotCacheDefinition pivotCacheId="212458417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10.773437268515" createdVersion="8" refreshedVersion="8" minRefreshableVersion="3" recordCount="113" xr:uid="{C463F84C-EDFB-428D-B0E9-A916EC3F14A9}">
  <cacheSource type="worksheet">
    <worksheetSource ref="A1:J114" sheet="Excel_jumia"/>
  </cacheSource>
  <cacheFields count="10">
    <cacheField name="Product" numFmtId="0">
      <sharedItems containsBlank="1" count="110">
        <s v="1/2/3 Seater Elastic Sofa Cover,Living Room/Home Decor Chair Cover-Grey"/>
        <s v="100 Pcs Crochet Hook Tool Set Knitting Hook Set With Box"/>
        <s v="115  Piece Set Of Multifunctional Precision Screwdrivers"/>
        <s v="12 Litre Black Insulated Lunch Box"/>
        <s v="12 Litre Insulated Lunch Box Grey"/>
        <s v="120W Cordless Vacuum Cleaners Handheld Electric Vacuum Cleaner"/>
        <s v="12V 19500rpm Handheld Electric Angle Grinder Tool - UK - Yellow/Black"/>
        <s v="13 In 1 Home Repair Tools Box Kit Set"/>
        <s v="137 Pieces Cake Decorating Tool Set Baking Supplies"/>
        <s v="1PC Refrigerator Food Seal Pocket Fridge Bags"/>
        <s v="2 Pairs Cowhide Split Leather Work Gloves.32â„‰ Or Above Welding Gloves"/>
        <s v="220V 60W Electric Soldering Iron Kits With Tools, Tips, And Multimeter"/>
        <s v="24 Grid Wall-mounted Sundries Organiser Fabric Closet Bag Storage Rack"/>
        <s v="2PCS Ice Silk Square Cushion Cover Pillowcases - 65x65cm"/>
        <s v="2pcs Solar Street Light Flood Light Outdoor"/>
        <s v="2PCS/LOT Solar LED Outdoor Intelligent Light Controlled Wall Lamp"/>
        <s v="32PCS Portable Cordless Drill Set With Cyclic Battery Drive -26 Variable Speed"/>
        <s v="380ML USB Rechargeable Portable Small Blenders And Juicers"/>
        <s v="3D Waterproof EVA Plastic Shower Curtain 1.8*2Mtrs"/>
        <s v="3PCS Rotary Scraper Thermomix For Kitchen"/>
        <s v="3PCS Single Head Knitting Crochet Sweater Needle Set"/>
        <s v="4 Piece Coloured Stainless Steel Kitchenware Set"/>
        <s v="40cm Gold DIY Acrylic Wall Sticker Clock"/>
        <s v="4M Float Switch Water Level Controller -Water Tank"/>
        <s v="4pcs Bathroom/Kitchen Towel Rack,Roll Paper Holder,Towel Bars,Hook"/>
        <s v="5 Pieces/set Of Stainless Steel Induction Cooker Pots"/>
        <s v="52 Pieces Cake Decorating Tool Set Gift Kit Baking Supplies"/>
        <s v="53 Pieces/Set Yarn Knitting Crochet Hooks With Bag - Pansies"/>
        <s v="53Pcs/Set Yarn Knitting Crochet Hooks With Bag - Fortune Cat"/>
        <s v="5m Waterproof Spherical LED String Lights Outdoor Ball Chain Lights Party Lighting Decoration Adjustable"/>
        <s v="5-PCS Stainless Steel Cooking Pot Set With Steamed Slices"/>
        <s v="6 In 1 Bottle Can Opener Multifunctional Easy Opener"/>
        <s v="6 Layers Steel Pipe Assembling Dustproof Storage Shoe Cabinet"/>
        <s v="60W Hot Melt Glue Sprayer - Efficient And Stable Glue Dispensing"/>
        <s v="7PCS Silicone Thumb Knife Finger Protector Vegetable Harvesting Knife"/>
        <s v="7-piece Set Of Storage Bags, Travel Storage Bags, Shoe Bags"/>
        <s v="8in1 Screwdriver With LED Light"/>
        <s v="9pcs Gas Mask, For Painting, Dust, Formaldehyde Grinding, Polishing"/>
        <s v="Agapeon Toothbrush Holder And Toothpaste Dispenser"/>
        <s v="Angle Measuring Tool Full Metal Multi Angle Measuring Tool"/>
        <s v="Anti-Skid Absorbent Insulation Coaster  For Home Office"/>
        <s v="Artificial Potted Flowers Room Decorative Flowers (2 Pieces)"/>
        <s v="Baby Early Education Shape And Color Cognitive Training Toys"/>
        <s v="Balloon Insert, Birthday Party Balloon Set, PU Leather"/>
        <s v="Bedroom Simple Floor Hanging Clothes Rack Single Pole Hat Rack - White"/>
        <s v="Black Simple Water Cup Wine Coaster Anti Slip Absorbent"/>
        <s v="Brush &amp; Paintbrush Cleaning Tool Pink"/>
        <s v="Car Phone Charging Stand"/>
        <s v="Cartoon Car Decoration Cute Individuality For Car Home Desk"/>
        <s v="Cartoon Embroidered Mini Towel Bear Cotton Wash Cloth Hand 4pcs"/>
        <s v="Christmas Elk Fence Yard Lawn Decorations Cute For Holidays"/>
        <s v="Christmas Fence Garden Decorations Outdoor For Holiday Home"/>
        <s v="Classic Black Cat Cotton Hemp Pillow Case For Home Car"/>
        <s v="Creative Owl Shape Keychain Black"/>
        <s v="Cushion Silicone Butt Cushion Summer Ice Cushion Honeycomb Gel Cushion"/>
        <s v="Cute Christmas Fence Garden Decorations For Holiday Home"/>
        <s v="Desk Foldable Fan Adjustable Fan Strong Wind 3 Gear Usb"/>
        <s v="DIY File Folder, Office Drawer File Holder, Pen Holder, Desktop Storage Rack"/>
        <s v="Electric LED UV Mosquito Killer Lamp, Outdoor/Indoor Fly Killer Trap Light -USB"/>
        <s v="Electronic Digital Display Vernier Caliper"/>
        <s v="Exfoliate And Exfoliate Face Towel - Black"/>
        <s v="Foldable Overbed Table/Desk"/>
        <s v="Genebre 115 In 1 Screwdriver Repairing Tool Set For IPhone Cellphone Hand Tool"/>
        <s v="Household Pineapple Peeler Peeler"/>
        <s v="Intelligent  LED Body Sensor Wireless Lighting Night Light USB"/>
        <s v="Konka Healty Electric Kettle, 24-hour Heat Preservation,1.5L,800W, White"/>
        <s v="Large Lazy Inflatable Sofa Chairs PVC Lounger Seat Bag"/>
        <s v="LASA 3 Tier Bamboo Shoe Bench Storage Shelf"/>
        <s v="LASA Aluminum Folding Truck Hand Cart - 68kg Max"/>
        <s v="LASA Digital Thermometer And Hydrometer"/>
        <s v="LASA FOLDING TABLE SERVING STAND"/>
        <s v="LASA Stainless Steel Double Wall Mount Soap Dispenser - 500ml"/>
        <s v="LED Eye Protection  Desk Lamp , Study, Reading, USB Fan - Double Pen Holder"/>
        <s v="LED Romantic Spaceship Starry Sky Projector,Children's Bedroom Night Light-Blue"/>
        <s v="LED Solar Street Light-fake Camera"/>
        <s v="LED Wall Digital Alarm Clock Study Home 12 / 24H Clock Calendar"/>
        <s v="Memory Foam Neck Pillow Cover, With Pillow Core - 50*30cm"/>
        <s v="Metal Decorative Hooks Key Hangers Entryway Wall Hooks Towel Hooks - Home"/>
        <s v="Metal Wall Clock Silver Dial Crystal Jewelry Round Home Decoration Wall Clock"/>
        <s v="Modern Sofa Throw Pillow Cover-45x45cm-Blue&amp;Red"/>
        <s v="Multifunction Laser Level With Adjustment Tripod"/>
        <s v="Multifunctional Hanging Storage Box Storage Bag (4 Layers)"/>
        <s v="MultiFunctional Storage Rack Multi-layer Bookshelf"/>
        <s v="Multi-purpose Rice Drainage Basket And Fruit And Vegetable Drainage Sieve"/>
        <s v="Mythco 120COB Solar Wall Ligt With Motion Sensor And Remote Control 3 Modes"/>
        <s v="Office Chair Lumbar Back Support Spine Posture Correction Pillow Car Cushion"/>
        <s v="Outdoor Portable Water Bottle With Medicine Box - 600ML - Black"/>
        <s v="Peacock  Throw Pillow Cushion Case For Home Car"/>
        <s v="Pen Grips For Kids Pen Grip Posture Correction Tool For Kids"/>
        <s v="Pilates Cloth Bag Waterproof Durable High Capacity Purple"/>
        <s v="Portable Home Small Air Humidifier 3-Speed Fan - Green"/>
        <s v="Portable Mini Cordless Car Vacuum Cleaner - Blue"/>
        <s v="Portable Soap Dispenser Kitchen Detergent Press Box Kitchen Tools"/>
        <s v="Portable Wardrobe Nonwoven With 3 Hanging Rods And 6 Storage Shelves"/>
        <s v="Portable Wine Table With Folding Round Table"/>
        <s v="Punch-free Great Load Bearing Bathroom Storage Rack Wall Shelf-White"/>
        <s v="Sewing Machine Needle Threader Stitch Insertion Tool Automatic Quick Sewing"/>
        <s v="Shower Cap Wide Elastic Band Cover Reusable Bashroom Cap"/>
        <s v="Shower Nozzle Cleaning Unclogging Needle Mini Crevice Small Hole Cleaning Brush"/>
        <s v="Simple Metal Dog Art Sculpture Decoration For Home Office"/>
        <s v="Thickening Multipurpose Non Stick Easy To Clean Heat Resistant Spoon Pad"/>
        <s v="VIC Wireless Vacuum Cleaner Dual Use For Home And Car 120W High Power Powerful"/>
        <s v="Wall Clock With Hidden Safe Box"/>
        <s v="Wall Mount Automatic Toothpaste Dispenser Toothbrush Holder Toothpaste Squeezer"/>
        <s v="Wall-mounted Sticker Punch-free Plug Fixer"/>
        <s v="Wall-Mounted Toothbrush Toothpaste Holder With Multiple Slots"/>
        <s v="Watercolour Gold Foil Textured Print Pillow Cover"/>
        <s v="Weighing Scale Digital Bathroom Body Fat Scale USB-Black"/>
        <s v="Wrought Iron Bathroom Shelf Wall Mounted Free Punch Toilet Rack"/>
        <m/>
      </sharedItems>
    </cacheField>
    <cacheField name="Current price" numFmtId="164">
      <sharedItems containsString="0" containsBlank="1" containsNumber="1" containsInteger="1" minValue="38" maxValue="3750" count="104">
        <n v="1800"/>
        <n v="990"/>
        <n v="950"/>
        <n v="1350"/>
        <n v="980"/>
        <n v="445"/>
        <n v="2799"/>
        <n v="1600"/>
        <n v="2319"/>
        <n v="198"/>
        <n v="1666"/>
        <n v="2999"/>
        <n v="1875"/>
        <n v="1200"/>
        <n v="790"/>
        <n v="3750"/>
        <n v="1000"/>
        <n v="998"/>
        <n v="690"/>
        <n v="38"/>
        <n v="248"/>
        <n v="552"/>
        <n v="475"/>
        <n v="1860"/>
        <n v="2170"/>
        <n v="1758"/>
        <n v="1980"/>
        <n v="1940"/>
        <n v="1460"/>
        <n v="2115"/>
        <n v="199"/>
        <n v="899"/>
        <n v="1190"/>
        <n v="230"/>
        <n v="968"/>
        <n v="1080"/>
        <n v="1420"/>
        <n v="382"/>
        <n v="799"/>
        <n v="657"/>
        <n v="332"/>
        <n v="525"/>
        <n v="610"/>
        <n v="979"/>
        <n v="169"/>
        <n v="299"/>
        <n v="671"/>
        <n v="274"/>
        <n v="999"/>
        <n v="699"/>
        <n v="171"/>
        <n v="176"/>
        <n v="1732"/>
        <n v="988"/>
        <n v="1620"/>
        <n v="1570"/>
        <n v="420"/>
        <n v="185"/>
        <n v="1650"/>
        <n v="330"/>
        <n v="325"/>
        <n v="3640"/>
        <n v="2300"/>
        <n v="2048"/>
        <n v="2025"/>
        <n v="501"/>
        <n v="1274"/>
        <n v="2750"/>
        <n v="1820"/>
        <n v="880"/>
        <n v="1150"/>
        <n v="1189"/>
        <n v="527"/>
        <n v="3546"/>
        <n v="238"/>
        <n v="1680"/>
        <n v="630"/>
        <n v="2200"/>
        <n v="1459"/>
        <n v="458"/>
        <n v="1466"/>
        <n v="195"/>
        <n v="1660"/>
        <n v="1740"/>
        <n v="2199"/>
        <n v="1462"/>
        <n v="2880"/>
        <n v="1300"/>
        <n v="389"/>
        <n v="105"/>
        <n v="2132"/>
        <n v="1658"/>
        <n v="499"/>
        <n v="399"/>
        <n v="1768"/>
        <n v="1220"/>
        <n v="850"/>
        <n v="1526"/>
        <n v="450"/>
        <n v="1468"/>
        <n v="345"/>
        <n v="1580"/>
        <n v="509"/>
        <m/>
      </sharedItems>
    </cacheField>
    <cacheField name="old price" numFmtId="164">
      <sharedItems containsString="0" containsBlank="1" containsNumber="1" containsInteger="1" minValue="80" maxValue="6143"/>
    </cacheField>
    <cacheField name="Discounted Price" numFmtId="164">
      <sharedItems containsString="0" containsBlank="1" containsNumber="1" containsInteger="1" minValue="24" maxValue="2585"/>
    </cacheField>
    <cacheField name="Discount" numFmtId="9">
      <sharedItems containsString="0" containsBlank="1" containsNumber="1" minValue="0.01" maxValue="0.64"/>
    </cacheField>
    <cacheField name="Discount Category" numFmtId="9">
      <sharedItems containsBlank="1" count="4">
        <s v="Medium"/>
        <s v="High"/>
        <s v="Low"/>
        <m/>
      </sharedItems>
    </cacheField>
    <cacheField name="Review" numFmtId="0">
      <sharedItems containsString="0" containsBlank="1" containsNumber="1" containsInteger="1" minValue="1" maxValue="69" count="24">
        <n v="2"/>
        <n v="39"/>
        <n v="13"/>
        <n v="12"/>
        <n v="69"/>
        <m/>
        <n v="5"/>
        <n v="55"/>
        <n v="15"/>
        <n v="7"/>
        <n v="44"/>
        <n v="6"/>
        <n v="20"/>
        <n v="32"/>
        <n v="17"/>
        <n v="1"/>
        <n v="49"/>
        <n v="9"/>
        <n v="14"/>
        <n v="3"/>
        <n v="10"/>
        <n v="24"/>
        <n v="36"/>
        <n v="16"/>
      </sharedItems>
    </cacheField>
    <cacheField name="Ratings" numFmtId="2">
      <sharedItems containsBlank="1"/>
    </cacheField>
    <cacheField name="Rating" numFmtId="165">
      <sharedItems containsMixedTypes="1" containsNumber="1" minValue="2" maxValue="5" count="23">
        <n v="4.5"/>
        <n v="4.7"/>
        <n v="3.8"/>
        <n v="2.8"/>
        <s v=""/>
        <n v="4.5999999999999996"/>
        <n v="4"/>
        <n v="3"/>
        <n v="2.2999999999999998"/>
        <n v="3.3"/>
        <n v="4.8"/>
        <n v="2.5"/>
        <n v="4.0999999999999996"/>
        <n v="2.1"/>
        <n v="2.2000000000000002"/>
        <n v="2.6"/>
        <n v="5"/>
        <n v="4.3"/>
        <n v="4.4000000000000004"/>
        <n v="2.7"/>
        <n v="4.2"/>
        <n v="2.9"/>
        <n v="2"/>
      </sharedItems>
    </cacheField>
    <cacheField name="Rating Category" numFmtId="0">
      <sharedItems count="4">
        <s v="Excellent"/>
        <s v="Average"/>
        <s v="Poor"/>
        <s v=""/>
      </sharedItems>
    </cacheField>
  </cacheFields>
  <extLst>
    <ext xmlns:x14="http://schemas.microsoft.com/office/spreadsheetml/2009/9/main" uri="{725AE2AE-9491-48be-B2B4-4EB974FC3084}">
      <x14:pivotCacheDefinition pivotCacheId="61068645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2">
  <r>
    <x v="0"/>
    <s v=" 1,620 -  1,980"/>
    <s v=" 2,200 -  3,200"/>
    <e v="#VALUE!"/>
    <n v="0.38"/>
    <x v="0"/>
    <n v="2"/>
    <s v="4.5 out of 5"/>
    <x v="0"/>
    <x v="0"/>
  </r>
  <r>
    <x v="1"/>
    <n v="990"/>
    <n v="1500"/>
    <n v="510"/>
    <n v="0.34"/>
    <x v="0"/>
    <n v="39"/>
    <s v="4.7 out of 5"/>
    <x v="1"/>
    <x v="0"/>
  </r>
  <r>
    <x v="2"/>
    <n v="950"/>
    <n v="1525"/>
    <n v="575"/>
    <n v="0.38"/>
    <x v="0"/>
    <n v="2"/>
    <s v="4.5 out of 5"/>
    <x v="0"/>
    <x v="0"/>
  </r>
  <r>
    <x v="3"/>
    <n v="1350"/>
    <n v="1990"/>
    <n v="640"/>
    <n v="0.32"/>
    <x v="0"/>
    <n v="13"/>
    <s v="3.8 out of 5"/>
    <x v="2"/>
    <x v="1"/>
  </r>
  <r>
    <x v="4"/>
    <n v="980"/>
    <n v="1490"/>
    <n v="510"/>
    <n v="0.34"/>
    <x v="0"/>
    <n v="12"/>
    <s v="4.7 out of 5"/>
    <x v="1"/>
    <x v="0"/>
  </r>
  <r>
    <x v="5"/>
    <n v="445"/>
    <n v="873"/>
    <n v="428"/>
    <n v="0.49"/>
    <x v="1"/>
    <n v="69"/>
    <s v="2.8 out of 5"/>
    <x v="3"/>
    <x v="2"/>
  </r>
  <r>
    <x v="6"/>
    <n v="2799"/>
    <n v="3810"/>
    <n v="1011"/>
    <n v="0.27"/>
    <x v="0"/>
    <m/>
    <s v="null"/>
    <x v="4"/>
    <x v="3"/>
  </r>
  <r>
    <x v="7"/>
    <n v="1600"/>
    <n v="2929"/>
    <n v="1329"/>
    <n v="0.45"/>
    <x v="1"/>
    <n v="5"/>
    <s v="3.8 out of 5"/>
    <x v="2"/>
    <x v="1"/>
  </r>
  <r>
    <x v="8"/>
    <n v="2319"/>
    <n v="3032"/>
    <n v="713"/>
    <n v="0.24"/>
    <x v="0"/>
    <n v="55"/>
    <s v="4.6 out of 5"/>
    <x v="5"/>
    <x v="0"/>
  </r>
  <r>
    <x v="9"/>
    <n v="198"/>
    <n v="260"/>
    <n v="62"/>
    <n v="0.24"/>
    <x v="0"/>
    <m/>
    <s v="null"/>
    <x v="4"/>
    <x v="3"/>
  </r>
  <r>
    <x v="10"/>
    <n v="1666"/>
    <n v="1699"/>
    <n v="33"/>
    <n v="0.02"/>
    <x v="2"/>
    <m/>
    <s v="null"/>
    <x v="4"/>
    <x v="3"/>
  </r>
  <r>
    <x v="11"/>
    <n v="2999"/>
    <n v="3290"/>
    <n v="291"/>
    <n v="0.09"/>
    <x v="2"/>
    <n v="15"/>
    <s v="4 out of 5"/>
    <x v="6"/>
    <x v="1"/>
  </r>
  <r>
    <x v="12"/>
    <n v="1875"/>
    <n v="1899"/>
    <n v="24"/>
    <n v="0.01"/>
    <x v="2"/>
    <m/>
    <s v="null"/>
    <x v="4"/>
    <x v="3"/>
  </r>
  <r>
    <x v="13"/>
    <n v="1200"/>
    <n v="2400"/>
    <n v="1200"/>
    <n v="0.5"/>
    <x v="1"/>
    <m/>
    <s v="null"/>
    <x v="4"/>
    <x v="3"/>
  </r>
  <r>
    <x v="14"/>
    <n v="1200"/>
    <n v="1950"/>
    <n v="750"/>
    <n v="0.38"/>
    <x v="0"/>
    <m/>
    <s v="null"/>
    <x v="4"/>
    <x v="3"/>
  </r>
  <r>
    <x v="15"/>
    <n v="790"/>
    <n v="1485"/>
    <n v="695"/>
    <n v="0.47"/>
    <x v="1"/>
    <m/>
    <s v="null"/>
    <x v="4"/>
    <x v="3"/>
  </r>
  <r>
    <x v="16"/>
    <n v="3750"/>
    <n v="6143"/>
    <n v="2393"/>
    <n v="0.39"/>
    <x v="0"/>
    <n v="5"/>
    <s v="3 out of 5"/>
    <x v="7"/>
    <x v="1"/>
  </r>
  <r>
    <x v="17"/>
    <n v="1000"/>
    <n v="2000"/>
    <n v="1000"/>
    <n v="0.5"/>
    <x v="1"/>
    <n v="7"/>
    <s v="2.3 out of 5"/>
    <x v="8"/>
    <x v="2"/>
  </r>
  <r>
    <x v="18"/>
    <n v="998"/>
    <n v="1966"/>
    <n v="968"/>
    <n v="0.49"/>
    <x v="1"/>
    <n v="44"/>
    <s v="4.6 out of 5"/>
    <x v="5"/>
    <x v="0"/>
  </r>
  <r>
    <x v="19"/>
    <n v="690"/>
    <n v="1200"/>
    <n v="510"/>
    <n v="0.43"/>
    <x v="1"/>
    <m/>
    <s v="null"/>
    <x v="4"/>
    <x v="3"/>
  </r>
  <r>
    <x v="20"/>
    <n v="38"/>
    <n v="80"/>
    <n v="42"/>
    <n v="0.53"/>
    <x v="1"/>
    <n v="13"/>
    <s v="3.3 out of 5"/>
    <x v="9"/>
    <x v="1"/>
  </r>
  <r>
    <x v="21"/>
    <n v="248"/>
    <n v="486"/>
    <n v="238"/>
    <n v="0.49"/>
    <x v="1"/>
    <m/>
    <s v="null"/>
    <x v="4"/>
    <x v="3"/>
  </r>
  <r>
    <x v="22"/>
    <n v="552"/>
    <n v="1035"/>
    <n v="483"/>
    <n v="0.47"/>
    <x v="1"/>
    <n v="12"/>
    <s v="4.8 out of 5"/>
    <x v="10"/>
    <x v="0"/>
  </r>
  <r>
    <x v="23"/>
    <n v="475"/>
    <n v="931"/>
    <n v="456"/>
    <n v="0.49"/>
    <x v="1"/>
    <m/>
    <s v="null"/>
    <x v="4"/>
    <x v="3"/>
  </r>
  <r>
    <x v="24"/>
    <n v="1860"/>
    <n v="3220"/>
    <n v="1360"/>
    <n v="0.42"/>
    <x v="1"/>
    <m/>
    <s v="null"/>
    <x v="4"/>
    <x v="3"/>
  </r>
  <r>
    <x v="25"/>
    <n v="2170"/>
    <n v="2500"/>
    <n v="330"/>
    <n v="0.13"/>
    <x v="2"/>
    <n v="6"/>
    <s v="2.5 out of 5"/>
    <x v="11"/>
    <x v="2"/>
  </r>
  <r>
    <x v="26"/>
    <n v="1758"/>
    <n v="2499"/>
    <n v="741"/>
    <n v="0.3"/>
    <x v="0"/>
    <n v="20"/>
    <s v="4.1 out of 5"/>
    <x v="12"/>
    <x v="1"/>
  </r>
  <r>
    <x v="27"/>
    <n v="1980"/>
    <n v="2699"/>
    <n v="719"/>
    <n v="0.27"/>
    <x v="0"/>
    <n v="32"/>
    <s v="4.5 out of 5"/>
    <x v="0"/>
    <x v="0"/>
  </r>
  <r>
    <x v="28"/>
    <n v="1940"/>
    <n v="2650"/>
    <n v="710"/>
    <n v="0.27"/>
    <x v="0"/>
    <n v="20"/>
    <s v="4.7 out of 5"/>
    <x v="1"/>
    <x v="0"/>
  </r>
  <r>
    <x v="29"/>
    <n v="1460"/>
    <n v="2290"/>
    <n v="830"/>
    <n v="0.36"/>
    <x v="0"/>
    <m/>
    <s v="null"/>
    <x v="4"/>
    <x v="3"/>
  </r>
  <r>
    <x v="30"/>
    <n v="2115"/>
    <n v="4700"/>
    <n v="2585"/>
    <n v="0.55000000000000004"/>
    <x v="1"/>
    <n v="13"/>
    <s v="2.1 out of 5"/>
    <x v="13"/>
    <x v="2"/>
  </r>
  <r>
    <x v="31"/>
    <n v="199"/>
    <n v="553"/>
    <n v="354"/>
    <n v="0.64"/>
    <x v="1"/>
    <m/>
    <s v="null"/>
    <x v="4"/>
    <x v="3"/>
  </r>
  <r>
    <x v="32"/>
    <n v="899"/>
    <n v="1699"/>
    <n v="800"/>
    <n v="0.47"/>
    <x v="1"/>
    <m/>
    <s v="null"/>
    <x v="4"/>
    <x v="3"/>
  </r>
  <r>
    <x v="33"/>
    <n v="1190"/>
    <n v="1785"/>
    <n v="595"/>
    <n v="0.33"/>
    <x v="0"/>
    <m/>
    <s v="null"/>
    <x v="4"/>
    <x v="3"/>
  </r>
  <r>
    <x v="34"/>
    <n v="230"/>
    <n v="450"/>
    <n v="220"/>
    <n v="0.49"/>
    <x v="1"/>
    <m/>
    <s v="null"/>
    <x v="4"/>
    <x v="3"/>
  </r>
  <r>
    <x v="35"/>
    <n v="968"/>
    <n v="1814"/>
    <n v="846"/>
    <n v="0.47"/>
    <x v="1"/>
    <n v="6"/>
    <s v="2.2 out of 5"/>
    <x v="14"/>
    <x v="2"/>
  </r>
  <r>
    <x v="36"/>
    <n v="1080"/>
    <n v="1874"/>
    <n v="794"/>
    <n v="0.42"/>
    <x v="1"/>
    <m/>
    <s v="null"/>
    <x v="4"/>
    <x v="3"/>
  </r>
  <r>
    <x v="37"/>
    <n v="1420"/>
    <n v="2420"/>
    <n v="1000"/>
    <n v="0.41"/>
    <x v="1"/>
    <m/>
    <s v="null"/>
    <x v="4"/>
    <x v="3"/>
  </r>
  <r>
    <x v="38"/>
    <n v="382"/>
    <n v="700"/>
    <n v="318"/>
    <n v="0.45"/>
    <x v="1"/>
    <n v="17"/>
    <s v="2.6 out of 5"/>
    <x v="15"/>
    <x v="2"/>
  </r>
  <r>
    <x v="39"/>
    <n v="799"/>
    <n v="1567"/>
    <n v="768"/>
    <n v="0.49"/>
    <x v="1"/>
    <m/>
    <s v="null"/>
    <x v="4"/>
    <x v="3"/>
  </r>
  <r>
    <x v="39"/>
    <n v="657"/>
    <n v="1288"/>
    <n v="631"/>
    <n v="0.49"/>
    <x v="1"/>
    <m/>
    <s v="null"/>
    <x v="4"/>
    <x v="3"/>
  </r>
  <r>
    <x v="40"/>
    <n v="332"/>
    <n v="684"/>
    <n v="352"/>
    <n v="0.51"/>
    <x v="1"/>
    <n v="2"/>
    <s v="5 out of 5"/>
    <x v="16"/>
    <x v="0"/>
  </r>
  <r>
    <x v="41"/>
    <n v="990"/>
    <n v="1814"/>
    <n v="824"/>
    <n v="0.45"/>
    <x v="1"/>
    <n v="6"/>
    <s v="2.2 out of 5"/>
    <x v="14"/>
    <x v="2"/>
  </r>
  <r>
    <x v="42"/>
    <n v="525"/>
    <n v="1029"/>
    <n v="504"/>
    <n v="0.49"/>
    <x v="1"/>
    <m/>
    <s v="null"/>
    <x v="4"/>
    <x v="3"/>
  </r>
  <r>
    <x v="43"/>
    <n v="610"/>
    <n v="1060"/>
    <n v="450"/>
    <n v="0.42"/>
    <x v="1"/>
    <m/>
    <s v="null"/>
    <x v="4"/>
    <x v="3"/>
  </r>
  <r>
    <x v="44"/>
    <n v="979"/>
    <n v="1920"/>
    <n v="941"/>
    <n v="0.49"/>
    <x v="1"/>
    <n v="1"/>
    <s v="5 out of 5"/>
    <x v="16"/>
    <x v="0"/>
  </r>
  <r>
    <x v="45"/>
    <n v="169"/>
    <n v="320"/>
    <n v="151"/>
    <n v="0.47"/>
    <x v="1"/>
    <m/>
    <s v="null"/>
    <x v="4"/>
    <x v="3"/>
  </r>
  <r>
    <x v="46"/>
    <n v="299"/>
    <n v="600"/>
    <n v="301"/>
    <n v="0.5"/>
    <x v="1"/>
    <m/>
    <s v="null"/>
    <x v="4"/>
    <x v="3"/>
  </r>
  <r>
    <x v="47"/>
    <n v="671"/>
    <n v="1316"/>
    <n v="645"/>
    <n v="0.49"/>
    <x v="1"/>
    <m/>
    <s v="null"/>
    <x v="4"/>
    <x v="3"/>
  </r>
  <r>
    <x v="48"/>
    <n v="274"/>
    <n v="537"/>
    <n v="263"/>
    <n v="0.49"/>
    <x v="1"/>
    <m/>
    <s v="null"/>
    <x v="4"/>
    <x v="3"/>
  </r>
  <r>
    <x v="49"/>
    <n v="1190"/>
    <n v="1810"/>
    <n v="620"/>
    <n v="0.34"/>
    <x v="0"/>
    <m/>
    <s v="null"/>
    <x v="4"/>
    <x v="3"/>
  </r>
  <r>
    <x v="50"/>
    <n v="999"/>
    <n v="2000"/>
    <n v="1001"/>
    <n v="0.5"/>
    <x v="1"/>
    <m/>
    <s v="null"/>
    <x v="4"/>
    <x v="3"/>
  </r>
  <r>
    <x v="51"/>
    <n v="699"/>
    <n v="1343"/>
    <n v="644"/>
    <n v="0.48"/>
    <x v="1"/>
    <m/>
    <s v="null"/>
    <x v="4"/>
    <x v="3"/>
  </r>
  <r>
    <x v="52"/>
    <n v="171"/>
    <n v="360"/>
    <n v="189"/>
    <n v="0.53"/>
    <x v="1"/>
    <n v="2"/>
    <s v="5 out of 5"/>
    <x v="16"/>
    <x v="0"/>
  </r>
  <r>
    <x v="53"/>
    <n v="199"/>
    <n v="504"/>
    <n v="305"/>
    <n v="0.61"/>
    <x v="1"/>
    <m/>
    <s v="null"/>
    <x v="4"/>
    <x v="3"/>
  </r>
  <r>
    <x v="53"/>
    <n v="176"/>
    <n v="345"/>
    <n v="169"/>
    <n v="0.49"/>
    <x v="1"/>
    <m/>
    <s v="null"/>
    <x v="4"/>
    <x v="3"/>
  </r>
  <r>
    <x v="54"/>
    <n v="1732"/>
    <n v="1799"/>
    <n v="67"/>
    <n v="0.04"/>
    <x v="2"/>
    <m/>
    <s v="null"/>
    <x v="4"/>
    <x v="3"/>
  </r>
  <r>
    <x v="55"/>
    <n v="799"/>
    <n v="1343"/>
    <n v="544"/>
    <n v="0.41"/>
    <x v="1"/>
    <m/>
    <s v="null"/>
    <x v="4"/>
    <x v="3"/>
  </r>
  <r>
    <x v="56"/>
    <n v="988"/>
    <n v="1580"/>
    <n v="592"/>
    <n v="0.37"/>
    <x v="0"/>
    <n v="2"/>
    <s v="4 out of 5"/>
    <x v="6"/>
    <x v="1"/>
  </r>
  <r>
    <x v="57"/>
    <n v="1620"/>
    <n v="2690"/>
    <n v="1070"/>
    <n v="0.4"/>
    <x v="1"/>
    <n v="1"/>
    <s v="5 out of 5"/>
    <x v="16"/>
    <x v="0"/>
  </r>
  <r>
    <x v="58"/>
    <n v="1570"/>
    <n v="2988"/>
    <n v="1418"/>
    <n v="0.47"/>
    <x v="1"/>
    <n v="7"/>
    <s v="2.1 out of 5"/>
    <x v="13"/>
    <x v="2"/>
  </r>
  <r>
    <x v="59"/>
    <n v="420"/>
    <n v="647"/>
    <n v="227"/>
    <n v="0.35"/>
    <x v="0"/>
    <n v="49"/>
    <s v="4.6 out of 5"/>
    <x v="5"/>
    <x v="0"/>
  </r>
  <r>
    <x v="60"/>
    <n v="185"/>
    <n v="382"/>
    <n v="197"/>
    <n v="0.52"/>
    <x v="1"/>
    <n v="9"/>
    <s v="4.3 out of 5"/>
    <x v="17"/>
    <x v="1"/>
  </r>
  <r>
    <x v="61"/>
    <n v="1650"/>
    <n v="2150"/>
    <n v="500"/>
    <n v="0.23"/>
    <x v="0"/>
    <n v="14"/>
    <s v="4.4 out of 5"/>
    <x v="18"/>
    <x v="1"/>
  </r>
  <r>
    <x v="62"/>
    <n v="799"/>
    <n v="999"/>
    <n v="200"/>
    <n v="0.2"/>
    <x v="0"/>
    <n v="12"/>
    <s v="4.1 out of 5"/>
    <x v="12"/>
    <x v="1"/>
  </r>
  <r>
    <x v="63"/>
    <n v="330"/>
    <n v="647"/>
    <n v="317"/>
    <n v="0.49"/>
    <x v="1"/>
    <n v="1"/>
    <s v="4 out of 5"/>
    <x v="6"/>
    <x v="1"/>
  </r>
  <r>
    <x v="64"/>
    <n v="325"/>
    <n v="680"/>
    <n v="355"/>
    <n v="0.52"/>
    <x v="1"/>
    <n v="15"/>
    <s v="2.7 out of 5"/>
    <x v="19"/>
    <x v="2"/>
  </r>
  <r>
    <x v="65"/>
    <n v="3640"/>
    <n v="4588"/>
    <n v="948"/>
    <n v="0.21"/>
    <x v="0"/>
    <n v="1"/>
    <s v="5 out of 5"/>
    <x v="16"/>
    <x v="0"/>
  </r>
  <r>
    <x v="66"/>
    <n v="2300"/>
    <n v="3240"/>
    <n v="940"/>
    <n v="0.28999999999999998"/>
    <x v="0"/>
    <n v="5"/>
    <s v="3 out of 5"/>
    <x v="7"/>
    <x v="1"/>
  </r>
  <r>
    <x v="67"/>
    <n v="2048"/>
    <n v="4500"/>
    <n v="2452"/>
    <n v="0.54"/>
    <x v="1"/>
    <n v="7"/>
    <s v="4.3 out of 5"/>
    <x v="17"/>
    <x v="1"/>
  </r>
  <r>
    <x v="68"/>
    <n v="2025"/>
    <n v="3971"/>
    <n v="1946"/>
    <n v="0.49"/>
    <x v="1"/>
    <n v="3"/>
    <s v="5 out of 5"/>
    <x v="16"/>
    <x v="0"/>
  </r>
  <r>
    <x v="69"/>
    <n v="501"/>
    <n v="860"/>
    <n v="359"/>
    <n v="0.42"/>
    <x v="1"/>
    <n v="6"/>
    <s v="4.5 out of 5"/>
    <x v="0"/>
    <x v="0"/>
  </r>
  <r>
    <x v="70"/>
    <n v="1274"/>
    <n v="2800"/>
    <n v="1526"/>
    <n v="0.55000000000000004"/>
    <x v="1"/>
    <n v="5"/>
    <s v="4.8 out of 5"/>
    <x v="10"/>
    <x v="0"/>
  </r>
  <r>
    <x v="71"/>
    <n v="2750"/>
    <n v="4471"/>
    <n v="1721"/>
    <n v="0.38"/>
    <x v="0"/>
    <m/>
    <s v="null"/>
    <x v="4"/>
    <x v="3"/>
  </r>
  <r>
    <x v="72"/>
    <n v="1820"/>
    <n v="3490"/>
    <n v="1670"/>
    <n v="0.48"/>
    <x v="1"/>
    <n v="9"/>
    <s v="4.3 out of 5"/>
    <x v="17"/>
    <x v="1"/>
  </r>
  <r>
    <x v="73"/>
    <n v="880"/>
    <n v="1350"/>
    <n v="470"/>
    <n v="0.35"/>
    <x v="0"/>
    <n v="6"/>
    <s v="4 out of 5"/>
    <x v="6"/>
    <x v="1"/>
  </r>
  <r>
    <x v="74"/>
    <n v="1150"/>
    <n v="1737"/>
    <n v="587"/>
    <n v="0.34"/>
    <x v="0"/>
    <m/>
    <s v="null"/>
    <x v="4"/>
    <x v="3"/>
  </r>
  <r>
    <x v="75"/>
    <n v="2999"/>
    <n v="3699"/>
    <n v="700"/>
    <n v="0.19"/>
    <x v="2"/>
    <n v="5"/>
    <s v="4.6 out of 5"/>
    <x v="5"/>
    <x v="0"/>
  </r>
  <r>
    <x v="76"/>
    <n v="1189"/>
    <n v="2199"/>
    <n v="1010"/>
    <n v="0.46"/>
    <x v="1"/>
    <n v="1"/>
    <s v="3 out of 5"/>
    <x v="7"/>
    <x v="1"/>
  </r>
  <r>
    <x v="77"/>
    <n v="527"/>
    <n v="999"/>
    <n v="472"/>
    <n v="0.47"/>
    <x v="1"/>
    <n v="14"/>
    <s v="4.1 out of 5"/>
    <x v="12"/>
    <x v="1"/>
  </r>
  <r>
    <x v="78"/>
    <n v="3546"/>
    <n v="3699"/>
    <n v="153"/>
    <n v="0.04"/>
    <x v="2"/>
    <m/>
    <s v="null"/>
    <x v="4"/>
    <x v="3"/>
  </r>
  <r>
    <x v="79"/>
    <n v="238"/>
    <n v="476"/>
    <n v="238"/>
    <n v="0.5"/>
    <x v="1"/>
    <m/>
    <s v="null"/>
    <x v="4"/>
    <x v="3"/>
  </r>
  <r>
    <x v="80"/>
    <n v="1680"/>
    <n v="2499"/>
    <n v="819"/>
    <n v="0.33"/>
    <x v="0"/>
    <n v="9"/>
    <s v="4.2 out of 5"/>
    <x v="20"/>
    <x v="1"/>
  </r>
  <r>
    <x v="81"/>
    <n v="630"/>
    <n v="1100"/>
    <n v="470"/>
    <n v="0.43"/>
    <x v="1"/>
    <m/>
    <s v="null"/>
    <x v="4"/>
    <x v="3"/>
  </r>
  <r>
    <x v="82"/>
    <n v="2200"/>
    <n v="4080"/>
    <n v="1880"/>
    <n v="0.46"/>
    <x v="1"/>
    <m/>
    <s v="null"/>
    <x v="4"/>
    <x v="3"/>
  </r>
  <r>
    <x v="83"/>
    <n v="1459"/>
    <n v="1499"/>
    <n v="40"/>
    <n v="0.03"/>
    <x v="2"/>
    <m/>
    <s v="null"/>
    <x v="4"/>
    <x v="3"/>
  </r>
  <r>
    <x v="84"/>
    <n v="458"/>
    <n v="986"/>
    <n v="528"/>
    <n v="0.54"/>
    <x v="1"/>
    <n v="10"/>
    <s v="3 out of 5"/>
    <x v="7"/>
    <x v="1"/>
  </r>
  <r>
    <x v="85"/>
    <n v="1466"/>
    <n v="1699"/>
    <n v="233"/>
    <n v="0.14000000000000001"/>
    <x v="2"/>
    <m/>
    <s v="null"/>
    <x v="4"/>
    <x v="3"/>
  </r>
  <r>
    <x v="86"/>
    <n v="799"/>
    <n v="900"/>
    <n v="101"/>
    <n v="0.11"/>
    <x v="2"/>
    <m/>
    <s v="null"/>
    <x v="4"/>
    <x v="3"/>
  </r>
  <r>
    <x v="87"/>
    <n v="195"/>
    <n v="360"/>
    <n v="165"/>
    <n v="0.46"/>
    <x v="1"/>
    <n v="2"/>
    <s v="5 out of 5"/>
    <x v="16"/>
    <x v="0"/>
  </r>
  <r>
    <x v="88"/>
    <n v="1660"/>
    <n v="1699"/>
    <n v="39"/>
    <n v="0.02"/>
    <x v="2"/>
    <m/>
    <s v="null"/>
    <x v="4"/>
    <x v="3"/>
  </r>
  <r>
    <x v="89"/>
    <n v="299"/>
    <n v="384"/>
    <n v="85"/>
    <n v="0.22"/>
    <x v="0"/>
    <m/>
    <s v="null"/>
    <x v="4"/>
    <x v="3"/>
  </r>
  <r>
    <x v="90"/>
    <n v="1740"/>
    <n v="2356"/>
    <n v="616"/>
    <n v="0.26"/>
    <x v="0"/>
    <n v="5"/>
    <s v="4.8 out of 5"/>
    <x v="10"/>
    <x v="0"/>
  </r>
  <r>
    <x v="91"/>
    <n v="2199"/>
    <n v="2923"/>
    <n v="724"/>
    <n v="0.25"/>
    <x v="0"/>
    <n v="24"/>
    <s v="4.6 out of 5"/>
    <x v="5"/>
    <x v="0"/>
  </r>
  <r>
    <x v="92"/>
    <n v="1462"/>
    <n v="1499"/>
    <n v="37"/>
    <n v="0.02"/>
    <x v="2"/>
    <m/>
    <s v="null"/>
    <x v="4"/>
    <x v="3"/>
  </r>
  <r>
    <x v="93"/>
    <n v="2880"/>
    <n v="3520"/>
    <n v="640"/>
    <n v="0.18"/>
    <x v="2"/>
    <n v="12"/>
    <s v="3.8 out of 5"/>
    <x v="2"/>
    <x v="1"/>
  </r>
  <r>
    <x v="94"/>
    <n v="1300"/>
    <n v="2500"/>
    <n v="1200"/>
    <n v="0.48"/>
    <x v="1"/>
    <m/>
    <s v="null"/>
    <x v="4"/>
    <x v="3"/>
  </r>
  <r>
    <x v="95"/>
    <n v="389"/>
    <n v="656"/>
    <n v="267"/>
    <n v="0.41"/>
    <x v="1"/>
    <n v="36"/>
    <s v="4.3 out of 5"/>
    <x v="17"/>
    <x v="1"/>
  </r>
  <r>
    <x v="96"/>
    <n v="105"/>
    <n v="200"/>
    <n v="95"/>
    <n v="0.48"/>
    <x v="1"/>
    <m/>
    <s v="null"/>
    <x v="4"/>
    <x v="3"/>
  </r>
  <r>
    <x v="97"/>
    <n v="2132"/>
    <n v="2169"/>
    <n v="37"/>
    <n v="0.02"/>
    <x v="2"/>
    <m/>
    <s v="null"/>
    <x v="4"/>
    <x v="3"/>
  </r>
  <r>
    <x v="98"/>
    <n v="1658"/>
    <n v="1699"/>
    <n v="41"/>
    <n v="0.02"/>
    <x v="2"/>
    <m/>
    <s v="null"/>
    <x v="4"/>
    <x v="3"/>
  </r>
  <r>
    <x v="99"/>
    <n v="499"/>
    <n v="900"/>
    <n v="401"/>
    <n v="0.45"/>
    <x v="1"/>
    <m/>
    <s v="null"/>
    <x v="4"/>
    <x v="3"/>
  </r>
  <r>
    <x v="99"/>
    <n v="399"/>
    <n v="896"/>
    <n v="497"/>
    <n v="0.55000000000000004"/>
    <x v="1"/>
    <m/>
    <s v="null"/>
    <x v="4"/>
    <x v="3"/>
  </r>
  <r>
    <x v="100"/>
    <n v="1768"/>
    <n v="1799"/>
    <n v="31"/>
    <n v="0.02"/>
    <x v="2"/>
    <m/>
    <s v="null"/>
    <x v="4"/>
    <x v="3"/>
  </r>
  <r>
    <x v="101"/>
    <n v="1220"/>
    <n v="1555"/>
    <n v="335"/>
    <n v="0.22"/>
    <x v="0"/>
    <n v="16"/>
    <s v="2.9 out of 5"/>
    <x v="21"/>
    <x v="2"/>
  </r>
  <r>
    <x v="102"/>
    <n v="850"/>
    <n v="1700"/>
    <n v="850"/>
    <n v="0.5"/>
    <x v="1"/>
    <m/>
    <s v="null"/>
    <x v="4"/>
    <x v="3"/>
  </r>
  <r>
    <x v="103"/>
    <n v="1526"/>
    <n v="1660"/>
    <n v="134"/>
    <n v="0.08"/>
    <x v="2"/>
    <m/>
    <s v="null"/>
    <x v="4"/>
    <x v="3"/>
  </r>
  <r>
    <x v="104"/>
    <n v="450"/>
    <n v="900"/>
    <n v="450"/>
    <n v="0.5"/>
    <x v="1"/>
    <n v="1"/>
    <s v="2 out of 5"/>
    <x v="22"/>
    <x v="2"/>
  </r>
  <r>
    <x v="105"/>
    <n v="1468"/>
    <n v="1699"/>
    <n v="231"/>
    <n v="0.14000000000000001"/>
    <x v="2"/>
    <m/>
    <s v="null"/>
    <x v="4"/>
    <x v="3"/>
  </r>
  <r>
    <x v="106"/>
    <n v="345"/>
    <n v="602"/>
    <n v="257"/>
    <n v="0.43"/>
    <x v="1"/>
    <n v="6"/>
    <s v="2.3 out of 5"/>
    <x v="8"/>
    <x v="2"/>
  </r>
  <r>
    <x v="107"/>
    <n v="1580"/>
    <n v="2499"/>
    <n v="919"/>
    <n v="0.37"/>
    <x v="0"/>
    <n v="7"/>
    <s v="4.7 out of 5"/>
    <x v="1"/>
    <x v="0"/>
  </r>
  <r>
    <x v="108"/>
    <n v="509"/>
    <n v="899"/>
    <n v="390"/>
    <n v="0.43"/>
    <x v="1"/>
    <n v="5"/>
    <s v="3 out of 5"/>
    <x v="7"/>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3">
  <r>
    <x v="0"/>
    <x v="0"/>
    <n v="2700"/>
    <n v="900"/>
    <n v="0.38"/>
    <x v="0"/>
    <x v="0"/>
    <s v="4.5 out of 5"/>
    <x v="0"/>
    <x v="0"/>
  </r>
  <r>
    <x v="1"/>
    <x v="1"/>
    <n v="1500"/>
    <n v="510"/>
    <n v="0.34"/>
    <x v="0"/>
    <x v="1"/>
    <s v="4.7 out of 5"/>
    <x v="1"/>
    <x v="0"/>
  </r>
  <r>
    <x v="2"/>
    <x v="2"/>
    <n v="1525"/>
    <n v="575"/>
    <n v="0.38"/>
    <x v="0"/>
    <x v="0"/>
    <s v="4.5 out of 5"/>
    <x v="0"/>
    <x v="0"/>
  </r>
  <r>
    <x v="3"/>
    <x v="3"/>
    <n v="1990"/>
    <n v="640"/>
    <n v="0.32"/>
    <x v="0"/>
    <x v="2"/>
    <s v="3.8 out of 5"/>
    <x v="2"/>
    <x v="1"/>
  </r>
  <r>
    <x v="4"/>
    <x v="4"/>
    <n v="1490"/>
    <n v="510"/>
    <n v="0.34"/>
    <x v="0"/>
    <x v="3"/>
    <s v="4.7 out of 5"/>
    <x v="1"/>
    <x v="0"/>
  </r>
  <r>
    <x v="5"/>
    <x v="5"/>
    <n v="873"/>
    <n v="428"/>
    <n v="0.49"/>
    <x v="1"/>
    <x v="4"/>
    <s v="2.8 out of 5"/>
    <x v="3"/>
    <x v="2"/>
  </r>
  <r>
    <x v="6"/>
    <x v="6"/>
    <n v="3810"/>
    <n v="1011"/>
    <n v="0.27"/>
    <x v="0"/>
    <x v="5"/>
    <s v="null"/>
    <x v="4"/>
    <x v="3"/>
  </r>
  <r>
    <x v="7"/>
    <x v="7"/>
    <n v="2929"/>
    <n v="1329"/>
    <n v="0.45"/>
    <x v="1"/>
    <x v="6"/>
    <s v="3.8 out of 5"/>
    <x v="2"/>
    <x v="1"/>
  </r>
  <r>
    <x v="8"/>
    <x v="8"/>
    <n v="3032"/>
    <n v="713"/>
    <n v="0.24"/>
    <x v="0"/>
    <x v="7"/>
    <s v="4.6 out of 5"/>
    <x v="5"/>
    <x v="0"/>
  </r>
  <r>
    <x v="9"/>
    <x v="9"/>
    <n v="260"/>
    <n v="62"/>
    <n v="0.24"/>
    <x v="0"/>
    <x v="5"/>
    <s v="null"/>
    <x v="4"/>
    <x v="3"/>
  </r>
  <r>
    <x v="10"/>
    <x v="10"/>
    <n v="1699"/>
    <n v="33"/>
    <n v="0.02"/>
    <x v="2"/>
    <x v="5"/>
    <s v="null"/>
    <x v="4"/>
    <x v="3"/>
  </r>
  <r>
    <x v="11"/>
    <x v="11"/>
    <n v="3290"/>
    <n v="291"/>
    <n v="0.09"/>
    <x v="2"/>
    <x v="8"/>
    <s v="4 out of 5"/>
    <x v="6"/>
    <x v="1"/>
  </r>
  <r>
    <x v="12"/>
    <x v="12"/>
    <n v="1899"/>
    <n v="24"/>
    <n v="0.01"/>
    <x v="2"/>
    <x v="5"/>
    <s v="null"/>
    <x v="4"/>
    <x v="3"/>
  </r>
  <r>
    <x v="13"/>
    <x v="13"/>
    <n v="2400"/>
    <n v="1200"/>
    <n v="0.5"/>
    <x v="1"/>
    <x v="5"/>
    <s v="null"/>
    <x v="4"/>
    <x v="3"/>
  </r>
  <r>
    <x v="14"/>
    <x v="13"/>
    <n v="1950"/>
    <n v="750"/>
    <n v="0.38"/>
    <x v="0"/>
    <x v="5"/>
    <s v="null"/>
    <x v="4"/>
    <x v="3"/>
  </r>
  <r>
    <x v="15"/>
    <x v="14"/>
    <n v="1485"/>
    <n v="695"/>
    <n v="0.47"/>
    <x v="1"/>
    <x v="5"/>
    <s v="null"/>
    <x v="4"/>
    <x v="3"/>
  </r>
  <r>
    <x v="16"/>
    <x v="15"/>
    <n v="6143"/>
    <n v="2393"/>
    <n v="0.39"/>
    <x v="0"/>
    <x v="6"/>
    <s v="3 out of 5"/>
    <x v="7"/>
    <x v="1"/>
  </r>
  <r>
    <x v="17"/>
    <x v="16"/>
    <n v="2000"/>
    <n v="1000"/>
    <n v="0.5"/>
    <x v="1"/>
    <x v="9"/>
    <s v="2.3 out of 5"/>
    <x v="8"/>
    <x v="2"/>
  </r>
  <r>
    <x v="18"/>
    <x v="17"/>
    <n v="1966"/>
    <n v="968"/>
    <n v="0.49"/>
    <x v="1"/>
    <x v="10"/>
    <s v="4.6 out of 5"/>
    <x v="5"/>
    <x v="0"/>
  </r>
  <r>
    <x v="19"/>
    <x v="18"/>
    <n v="1200"/>
    <n v="510"/>
    <n v="0.43"/>
    <x v="1"/>
    <x v="5"/>
    <s v="null"/>
    <x v="4"/>
    <x v="3"/>
  </r>
  <r>
    <x v="20"/>
    <x v="19"/>
    <n v="80"/>
    <n v="42"/>
    <n v="0.53"/>
    <x v="1"/>
    <x v="2"/>
    <s v="3.3 out of 5"/>
    <x v="9"/>
    <x v="1"/>
  </r>
  <r>
    <x v="21"/>
    <x v="20"/>
    <n v="486"/>
    <n v="238"/>
    <n v="0.49"/>
    <x v="1"/>
    <x v="5"/>
    <s v="null"/>
    <x v="4"/>
    <x v="3"/>
  </r>
  <r>
    <x v="22"/>
    <x v="21"/>
    <n v="1035"/>
    <n v="483"/>
    <n v="0.47"/>
    <x v="1"/>
    <x v="3"/>
    <s v="4.8 out of 5"/>
    <x v="10"/>
    <x v="0"/>
  </r>
  <r>
    <x v="23"/>
    <x v="22"/>
    <n v="931"/>
    <n v="456"/>
    <n v="0.49"/>
    <x v="1"/>
    <x v="5"/>
    <s v="null"/>
    <x v="4"/>
    <x v="3"/>
  </r>
  <r>
    <x v="24"/>
    <x v="23"/>
    <n v="3220"/>
    <n v="1360"/>
    <n v="0.42"/>
    <x v="1"/>
    <x v="5"/>
    <s v="null"/>
    <x v="4"/>
    <x v="3"/>
  </r>
  <r>
    <x v="25"/>
    <x v="24"/>
    <n v="2500"/>
    <n v="330"/>
    <n v="0.13"/>
    <x v="2"/>
    <x v="11"/>
    <s v="2.5 out of 5"/>
    <x v="11"/>
    <x v="2"/>
  </r>
  <r>
    <x v="26"/>
    <x v="25"/>
    <n v="2499"/>
    <n v="741"/>
    <n v="0.3"/>
    <x v="0"/>
    <x v="12"/>
    <s v="4.1 out of 5"/>
    <x v="12"/>
    <x v="1"/>
  </r>
  <r>
    <x v="27"/>
    <x v="26"/>
    <n v="2699"/>
    <n v="719"/>
    <n v="0.27"/>
    <x v="0"/>
    <x v="13"/>
    <s v="4.5 out of 5"/>
    <x v="0"/>
    <x v="0"/>
  </r>
  <r>
    <x v="28"/>
    <x v="27"/>
    <n v="2650"/>
    <n v="710"/>
    <n v="0.27"/>
    <x v="0"/>
    <x v="12"/>
    <s v="4.7 out of 5"/>
    <x v="1"/>
    <x v="0"/>
  </r>
  <r>
    <x v="29"/>
    <x v="28"/>
    <n v="2290"/>
    <n v="830"/>
    <n v="0.36"/>
    <x v="0"/>
    <x v="5"/>
    <s v="null"/>
    <x v="4"/>
    <x v="3"/>
  </r>
  <r>
    <x v="30"/>
    <x v="29"/>
    <n v="4700"/>
    <n v="2585"/>
    <n v="0.55000000000000004"/>
    <x v="1"/>
    <x v="2"/>
    <s v="2.1 out of 5"/>
    <x v="13"/>
    <x v="2"/>
  </r>
  <r>
    <x v="31"/>
    <x v="30"/>
    <n v="553"/>
    <n v="354"/>
    <n v="0.64"/>
    <x v="1"/>
    <x v="5"/>
    <s v="null"/>
    <x v="4"/>
    <x v="3"/>
  </r>
  <r>
    <x v="32"/>
    <x v="31"/>
    <n v="1699"/>
    <n v="800"/>
    <n v="0.47"/>
    <x v="1"/>
    <x v="5"/>
    <s v="null"/>
    <x v="4"/>
    <x v="3"/>
  </r>
  <r>
    <x v="33"/>
    <x v="32"/>
    <n v="1785"/>
    <n v="595"/>
    <n v="0.33"/>
    <x v="0"/>
    <x v="5"/>
    <s v="null"/>
    <x v="4"/>
    <x v="3"/>
  </r>
  <r>
    <x v="34"/>
    <x v="33"/>
    <n v="450"/>
    <n v="220"/>
    <n v="0.49"/>
    <x v="1"/>
    <x v="5"/>
    <s v="null"/>
    <x v="4"/>
    <x v="3"/>
  </r>
  <r>
    <x v="35"/>
    <x v="34"/>
    <n v="1814"/>
    <n v="846"/>
    <n v="0.47"/>
    <x v="1"/>
    <x v="11"/>
    <s v="2.2 out of 5"/>
    <x v="14"/>
    <x v="2"/>
  </r>
  <r>
    <x v="36"/>
    <x v="35"/>
    <n v="1874"/>
    <n v="794"/>
    <n v="0.42"/>
    <x v="1"/>
    <x v="5"/>
    <s v="null"/>
    <x v="4"/>
    <x v="3"/>
  </r>
  <r>
    <x v="37"/>
    <x v="36"/>
    <n v="2420"/>
    <n v="1000"/>
    <n v="0.41"/>
    <x v="1"/>
    <x v="5"/>
    <s v="null"/>
    <x v="4"/>
    <x v="3"/>
  </r>
  <r>
    <x v="38"/>
    <x v="37"/>
    <n v="700"/>
    <n v="318"/>
    <n v="0.45"/>
    <x v="1"/>
    <x v="14"/>
    <s v="2.6 out of 5"/>
    <x v="15"/>
    <x v="2"/>
  </r>
  <r>
    <x v="39"/>
    <x v="38"/>
    <n v="1567"/>
    <n v="768"/>
    <n v="0.49"/>
    <x v="1"/>
    <x v="5"/>
    <s v="null"/>
    <x v="4"/>
    <x v="3"/>
  </r>
  <r>
    <x v="39"/>
    <x v="39"/>
    <n v="1288"/>
    <n v="631"/>
    <n v="0.49"/>
    <x v="1"/>
    <x v="5"/>
    <s v="null"/>
    <x v="4"/>
    <x v="3"/>
  </r>
  <r>
    <x v="40"/>
    <x v="40"/>
    <n v="684"/>
    <n v="352"/>
    <n v="0.51"/>
    <x v="1"/>
    <x v="0"/>
    <s v="5 out of 5"/>
    <x v="16"/>
    <x v="0"/>
  </r>
  <r>
    <x v="41"/>
    <x v="1"/>
    <n v="1814"/>
    <n v="824"/>
    <n v="0.45"/>
    <x v="1"/>
    <x v="11"/>
    <s v="2.2 out of 5"/>
    <x v="14"/>
    <x v="2"/>
  </r>
  <r>
    <x v="42"/>
    <x v="41"/>
    <n v="1029"/>
    <n v="504"/>
    <n v="0.49"/>
    <x v="1"/>
    <x v="5"/>
    <s v="null"/>
    <x v="4"/>
    <x v="3"/>
  </r>
  <r>
    <x v="43"/>
    <x v="42"/>
    <n v="1060"/>
    <n v="450"/>
    <n v="0.42"/>
    <x v="1"/>
    <x v="5"/>
    <s v="null"/>
    <x v="4"/>
    <x v="3"/>
  </r>
  <r>
    <x v="44"/>
    <x v="43"/>
    <n v="1920"/>
    <n v="941"/>
    <n v="0.49"/>
    <x v="1"/>
    <x v="15"/>
    <s v="5 out of 5"/>
    <x v="16"/>
    <x v="0"/>
  </r>
  <r>
    <x v="45"/>
    <x v="44"/>
    <n v="320"/>
    <n v="151"/>
    <n v="0.47"/>
    <x v="1"/>
    <x v="5"/>
    <s v="null"/>
    <x v="4"/>
    <x v="3"/>
  </r>
  <r>
    <x v="46"/>
    <x v="45"/>
    <n v="600"/>
    <n v="301"/>
    <n v="0.5"/>
    <x v="1"/>
    <x v="5"/>
    <s v="null"/>
    <x v="4"/>
    <x v="3"/>
  </r>
  <r>
    <x v="47"/>
    <x v="46"/>
    <n v="1316"/>
    <n v="645"/>
    <n v="0.49"/>
    <x v="1"/>
    <x v="5"/>
    <s v="null"/>
    <x v="4"/>
    <x v="3"/>
  </r>
  <r>
    <x v="48"/>
    <x v="47"/>
    <n v="537"/>
    <n v="263"/>
    <n v="0.49"/>
    <x v="1"/>
    <x v="5"/>
    <s v="null"/>
    <x v="4"/>
    <x v="3"/>
  </r>
  <r>
    <x v="49"/>
    <x v="32"/>
    <n v="1810"/>
    <n v="620"/>
    <n v="0.34"/>
    <x v="0"/>
    <x v="5"/>
    <s v="null"/>
    <x v="4"/>
    <x v="3"/>
  </r>
  <r>
    <x v="50"/>
    <x v="48"/>
    <n v="2000"/>
    <n v="1001"/>
    <n v="0.5"/>
    <x v="1"/>
    <x v="5"/>
    <s v="null"/>
    <x v="4"/>
    <x v="3"/>
  </r>
  <r>
    <x v="51"/>
    <x v="49"/>
    <n v="1343"/>
    <n v="644"/>
    <n v="0.48"/>
    <x v="1"/>
    <x v="5"/>
    <s v="null"/>
    <x v="4"/>
    <x v="3"/>
  </r>
  <r>
    <x v="52"/>
    <x v="50"/>
    <n v="360"/>
    <n v="189"/>
    <n v="0.53"/>
    <x v="1"/>
    <x v="0"/>
    <s v="5 out of 5"/>
    <x v="16"/>
    <x v="0"/>
  </r>
  <r>
    <x v="53"/>
    <x v="30"/>
    <n v="504"/>
    <n v="305"/>
    <n v="0.61"/>
    <x v="1"/>
    <x v="5"/>
    <s v="null"/>
    <x v="4"/>
    <x v="3"/>
  </r>
  <r>
    <x v="53"/>
    <x v="51"/>
    <n v="345"/>
    <n v="169"/>
    <n v="0.49"/>
    <x v="1"/>
    <x v="5"/>
    <s v="null"/>
    <x v="4"/>
    <x v="3"/>
  </r>
  <r>
    <x v="54"/>
    <x v="52"/>
    <n v="1799"/>
    <n v="67"/>
    <n v="0.04"/>
    <x v="2"/>
    <x v="5"/>
    <s v="null"/>
    <x v="4"/>
    <x v="3"/>
  </r>
  <r>
    <x v="55"/>
    <x v="38"/>
    <n v="1343"/>
    <n v="544"/>
    <n v="0.41"/>
    <x v="1"/>
    <x v="5"/>
    <s v="null"/>
    <x v="4"/>
    <x v="3"/>
  </r>
  <r>
    <x v="56"/>
    <x v="53"/>
    <n v="1580"/>
    <n v="592"/>
    <n v="0.37"/>
    <x v="0"/>
    <x v="0"/>
    <s v="4 out of 5"/>
    <x v="6"/>
    <x v="1"/>
  </r>
  <r>
    <x v="57"/>
    <x v="54"/>
    <n v="2690"/>
    <n v="1070"/>
    <n v="0.4"/>
    <x v="1"/>
    <x v="15"/>
    <s v="5 out of 5"/>
    <x v="16"/>
    <x v="0"/>
  </r>
  <r>
    <x v="58"/>
    <x v="55"/>
    <n v="2988"/>
    <n v="1418"/>
    <n v="0.47"/>
    <x v="1"/>
    <x v="9"/>
    <s v="2.1 out of 5"/>
    <x v="13"/>
    <x v="2"/>
  </r>
  <r>
    <x v="59"/>
    <x v="56"/>
    <n v="647"/>
    <n v="227"/>
    <n v="0.35"/>
    <x v="0"/>
    <x v="16"/>
    <s v="4.6 out of 5"/>
    <x v="5"/>
    <x v="0"/>
  </r>
  <r>
    <x v="60"/>
    <x v="57"/>
    <n v="382"/>
    <n v="197"/>
    <n v="0.52"/>
    <x v="1"/>
    <x v="17"/>
    <s v="4.3 out of 5"/>
    <x v="17"/>
    <x v="1"/>
  </r>
  <r>
    <x v="61"/>
    <x v="58"/>
    <n v="2150"/>
    <n v="500"/>
    <n v="0.23"/>
    <x v="0"/>
    <x v="18"/>
    <s v="4.4 out of 5"/>
    <x v="18"/>
    <x v="1"/>
  </r>
  <r>
    <x v="62"/>
    <x v="38"/>
    <n v="999"/>
    <n v="200"/>
    <n v="0.2"/>
    <x v="0"/>
    <x v="3"/>
    <s v="4.1 out of 5"/>
    <x v="12"/>
    <x v="1"/>
  </r>
  <r>
    <x v="63"/>
    <x v="59"/>
    <n v="647"/>
    <n v="317"/>
    <n v="0.49"/>
    <x v="1"/>
    <x v="15"/>
    <s v="4 out of 5"/>
    <x v="6"/>
    <x v="1"/>
  </r>
  <r>
    <x v="64"/>
    <x v="60"/>
    <n v="680"/>
    <n v="355"/>
    <n v="0.52"/>
    <x v="1"/>
    <x v="8"/>
    <s v="2.7 out of 5"/>
    <x v="19"/>
    <x v="2"/>
  </r>
  <r>
    <x v="65"/>
    <x v="61"/>
    <n v="4588"/>
    <n v="948"/>
    <n v="0.21"/>
    <x v="0"/>
    <x v="15"/>
    <s v="5 out of 5"/>
    <x v="16"/>
    <x v="0"/>
  </r>
  <r>
    <x v="66"/>
    <x v="62"/>
    <n v="3240"/>
    <n v="940"/>
    <n v="0.28999999999999998"/>
    <x v="0"/>
    <x v="6"/>
    <s v="3 out of 5"/>
    <x v="7"/>
    <x v="1"/>
  </r>
  <r>
    <x v="67"/>
    <x v="63"/>
    <n v="4500"/>
    <n v="2452"/>
    <n v="0.54"/>
    <x v="1"/>
    <x v="9"/>
    <s v="4.3 out of 5"/>
    <x v="17"/>
    <x v="1"/>
  </r>
  <r>
    <x v="68"/>
    <x v="64"/>
    <n v="3971"/>
    <n v="1946"/>
    <n v="0.49"/>
    <x v="1"/>
    <x v="19"/>
    <s v="5 out of 5"/>
    <x v="16"/>
    <x v="0"/>
  </r>
  <r>
    <x v="69"/>
    <x v="65"/>
    <n v="860"/>
    <n v="359"/>
    <n v="0.42"/>
    <x v="1"/>
    <x v="11"/>
    <s v="4.5 out of 5"/>
    <x v="0"/>
    <x v="0"/>
  </r>
  <r>
    <x v="70"/>
    <x v="66"/>
    <n v="2800"/>
    <n v="1526"/>
    <n v="0.55000000000000004"/>
    <x v="1"/>
    <x v="6"/>
    <s v="4.8 out of 5"/>
    <x v="10"/>
    <x v="0"/>
  </r>
  <r>
    <x v="71"/>
    <x v="67"/>
    <n v="4471"/>
    <n v="1721"/>
    <n v="0.38"/>
    <x v="0"/>
    <x v="5"/>
    <s v="null"/>
    <x v="4"/>
    <x v="3"/>
  </r>
  <r>
    <x v="72"/>
    <x v="68"/>
    <n v="3490"/>
    <n v="1670"/>
    <n v="0.48"/>
    <x v="1"/>
    <x v="17"/>
    <s v="4.3 out of 5"/>
    <x v="17"/>
    <x v="1"/>
  </r>
  <r>
    <x v="73"/>
    <x v="69"/>
    <n v="1350"/>
    <n v="470"/>
    <n v="0.35"/>
    <x v="0"/>
    <x v="11"/>
    <s v="4 out of 5"/>
    <x v="6"/>
    <x v="1"/>
  </r>
  <r>
    <x v="74"/>
    <x v="70"/>
    <n v="1737"/>
    <n v="587"/>
    <n v="0.34"/>
    <x v="0"/>
    <x v="5"/>
    <s v="null"/>
    <x v="4"/>
    <x v="3"/>
  </r>
  <r>
    <x v="75"/>
    <x v="11"/>
    <n v="3699"/>
    <n v="700"/>
    <n v="0.19"/>
    <x v="2"/>
    <x v="6"/>
    <s v="4.6 out of 5"/>
    <x v="5"/>
    <x v="0"/>
  </r>
  <r>
    <x v="76"/>
    <x v="71"/>
    <n v="2199"/>
    <n v="1010"/>
    <n v="0.46"/>
    <x v="1"/>
    <x v="15"/>
    <s v="3 out of 5"/>
    <x v="7"/>
    <x v="1"/>
  </r>
  <r>
    <x v="77"/>
    <x v="72"/>
    <n v="999"/>
    <n v="472"/>
    <n v="0.47"/>
    <x v="1"/>
    <x v="18"/>
    <s v="4.1 out of 5"/>
    <x v="12"/>
    <x v="1"/>
  </r>
  <r>
    <x v="78"/>
    <x v="73"/>
    <n v="3699"/>
    <n v="153"/>
    <n v="0.04"/>
    <x v="2"/>
    <x v="5"/>
    <s v="null"/>
    <x v="4"/>
    <x v="3"/>
  </r>
  <r>
    <x v="79"/>
    <x v="74"/>
    <n v="476"/>
    <n v="238"/>
    <n v="0.5"/>
    <x v="1"/>
    <x v="5"/>
    <s v="null"/>
    <x v="4"/>
    <x v="3"/>
  </r>
  <r>
    <x v="80"/>
    <x v="75"/>
    <n v="2499"/>
    <n v="819"/>
    <n v="0.33"/>
    <x v="0"/>
    <x v="17"/>
    <s v="4.2 out of 5"/>
    <x v="20"/>
    <x v="1"/>
  </r>
  <r>
    <x v="81"/>
    <x v="76"/>
    <n v="1100"/>
    <n v="470"/>
    <n v="0.43"/>
    <x v="1"/>
    <x v="5"/>
    <s v="null"/>
    <x v="4"/>
    <x v="3"/>
  </r>
  <r>
    <x v="82"/>
    <x v="77"/>
    <n v="4080"/>
    <n v="1880"/>
    <n v="0.46"/>
    <x v="1"/>
    <x v="5"/>
    <s v="null"/>
    <x v="4"/>
    <x v="3"/>
  </r>
  <r>
    <x v="83"/>
    <x v="78"/>
    <n v="1499"/>
    <n v="40"/>
    <n v="0.03"/>
    <x v="2"/>
    <x v="5"/>
    <s v="null"/>
    <x v="4"/>
    <x v="3"/>
  </r>
  <r>
    <x v="84"/>
    <x v="79"/>
    <n v="986"/>
    <n v="528"/>
    <n v="0.54"/>
    <x v="1"/>
    <x v="20"/>
    <s v="3 out of 5"/>
    <x v="7"/>
    <x v="1"/>
  </r>
  <r>
    <x v="85"/>
    <x v="80"/>
    <n v="1699"/>
    <n v="233"/>
    <n v="0.14000000000000001"/>
    <x v="2"/>
    <x v="5"/>
    <s v="null"/>
    <x v="4"/>
    <x v="3"/>
  </r>
  <r>
    <x v="86"/>
    <x v="38"/>
    <n v="900"/>
    <n v="101"/>
    <n v="0.11"/>
    <x v="2"/>
    <x v="5"/>
    <s v="null"/>
    <x v="4"/>
    <x v="3"/>
  </r>
  <r>
    <x v="87"/>
    <x v="81"/>
    <n v="360"/>
    <n v="165"/>
    <n v="0.46"/>
    <x v="1"/>
    <x v="0"/>
    <s v="5 out of 5"/>
    <x v="16"/>
    <x v="0"/>
  </r>
  <r>
    <x v="88"/>
    <x v="82"/>
    <n v="1699"/>
    <n v="39"/>
    <n v="0.02"/>
    <x v="2"/>
    <x v="5"/>
    <s v="null"/>
    <x v="4"/>
    <x v="3"/>
  </r>
  <r>
    <x v="89"/>
    <x v="45"/>
    <n v="384"/>
    <n v="85"/>
    <n v="0.22"/>
    <x v="0"/>
    <x v="5"/>
    <s v="null"/>
    <x v="4"/>
    <x v="3"/>
  </r>
  <r>
    <x v="90"/>
    <x v="83"/>
    <n v="2356"/>
    <n v="616"/>
    <n v="0.26"/>
    <x v="0"/>
    <x v="6"/>
    <s v="4.8 out of 5"/>
    <x v="10"/>
    <x v="0"/>
  </r>
  <r>
    <x v="91"/>
    <x v="84"/>
    <n v="2923"/>
    <n v="724"/>
    <n v="0.25"/>
    <x v="0"/>
    <x v="21"/>
    <s v="4.6 out of 5"/>
    <x v="5"/>
    <x v="0"/>
  </r>
  <r>
    <x v="92"/>
    <x v="85"/>
    <n v="1499"/>
    <n v="37"/>
    <n v="0.02"/>
    <x v="2"/>
    <x v="5"/>
    <s v="null"/>
    <x v="4"/>
    <x v="3"/>
  </r>
  <r>
    <x v="93"/>
    <x v="86"/>
    <n v="3520"/>
    <n v="640"/>
    <n v="0.18"/>
    <x v="2"/>
    <x v="3"/>
    <s v="3.8 out of 5"/>
    <x v="2"/>
    <x v="1"/>
  </r>
  <r>
    <x v="94"/>
    <x v="87"/>
    <n v="2500"/>
    <n v="1200"/>
    <n v="0.48"/>
    <x v="1"/>
    <x v="5"/>
    <s v="null"/>
    <x v="4"/>
    <x v="3"/>
  </r>
  <r>
    <x v="95"/>
    <x v="88"/>
    <n v="656"/>
    <n v="267"/>
    <n v="0.41"/>
    <x v="1"/>
    <x v="22"/>
    <s v="4.3 out of 5"/>
    <x v="17"/>
    <x v="1"/>
  </r>
  <r>
    <x v="96"/>
    <x v="89"/>
    <n v="200"/>
    <n v="95"/>
    <n v="0.48"/>
    <x v="1"/>
    <x v="5"/>
    <s v="null"/>
    <x v="4"/>
    <x v="3"/>
  </r>
  <r>
    <x v="97"/>
    <x v="90"/>
    <n v="2169"/>
    <n v="37"/>
    <n v="0.02"/>
    <x v="2"/>
    <x v="5"/>
    <s v="null"/>
    <x v="4"/>
    <x v="3"/>
  </r>
  <r>
    <x v="98"/>
    <x v="91"/>
    <n v="1699"/>
    <n v="41"/>
    <n v="0.02"/>
    <x v="2"/>
    <x v="5"/>
    <s v="null"/>
    <x v="4"/>
    <x v="3"/>
  </r>
  <r>
    <x v="99"/>
    <x v="92"/>
    <n v="900"/>
    <n v="401"/>
    <n v="0.45"/>
    <x v="1"/>
    <x v="5"/>
    <s v="null"/>
    <x v="4"/>
    <x v="3"/>
  </r>
  <r>
    <x v="99"/>
    <x v="93"/>
    <n v="896"/>
    <n v="497"/>
    <n v="0.55000000000000004"/>
    <x v="1"/>
    <x v="5"/>
    <s v="null"/>
    <x v="4"/>
    <x v="3"/>
  </r>
  <r>
    <x v="100"/>
    <x v="94"/>
    <n v="1799"/>
    <n v="31"/>
    <n v="0.02"/>
    <x v="2"/>
    <x v="5"/>
    <s v="null"/>
    <x v="4"/>
    <x v="3"/>
  </r>
  <r>
    <x v="101"/>
    <x v="95"/>
    <n v="1555"/>
    <n v="335"/>
    <n v="0.22"/>
    <x v="0"/>
    <x v="23"/>
    <s v="2.9 out of 5"/>
    <x v="21"/>
    <x v="2"/>
  </r>
  <r>
    <x v="102"/>
    <x v="96"/>
    <n v="1700"/>
    <n v="850"/>
    <n v="0.5"/>
    <x v="1"/>
    <x v="5"/>
    <s v="null"/>
    <x v="4"/>
    <x v="3"/>
  </r>
  <r>
    <x v="103"/>
    <x v="97"/>
    <n v="1660"/>
    <n v="134"/>
    <n v="0.08"/>
    <x v="2"/>
    <x v="5"/>
    <s v="null"/>
    <x v="4"/>
    <x v="3"/>
  </r>
  <r>
    <x v="104"/>
    <x v="98"/>
    <n v="900"/>
    <n v="450"/>
    <n v="0.5"/>
    <x v="1"/>
    <x v="15"/>
    <s v="2 out of 5"/>
    <x v="22"/>
    <x v="2"/>
  </r>
  <r>
    <x v="105"/>
    <x v="99"/>
    <n v="1699"/>
    <n v="231"/>
    <n v="0.14000000000000001"/>
    <x v="2"/>
    <x v="5"/>
    <s v="null"/>
    <x v="4"/>
    <x v="3"/>
  </r>
  <r>
    <x v="106"/>
    <x v="100"/>
    <n v="602"/>
    <n v="257"/>
    <n v="0.43"/>
    <x v="1"/>
    <x v="11"/>
    <s v="2.3 out of 5"/>
    <x v="8"/>
    <x v="2"/>
  </r>
  <r>
    <x v="107"/>
    <x v="101"/>
    <n v="2499"/>
    <n v="919"/>
    <n v="0.37"/>
    <x v="0"/>
    <x v="9"/>
    <s v="4.7 out of 5"/>
    <x v="1"/>
    <x v="0"/>
  </r>
  <r>
    <x v="108"/>
    <x v="102"/>
    <n v="899"/>
    <n v="390"/>
    <n v="0.43"/>
    <x v="1"/>
    <x v="6"/>
    <s v="3 out of 5"/>
    <x v="7"/>
    <x v="1"/>
  </r>
  <r>
    <x v="109"/>
    <x v="103"/>
    <m/>
    <m/>
    <m/>
    <x v="3"/>
    <x v="5"/>
    <m/>
    <x v="4"/>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D554118-B011-4BD5-894A-9A3AD86FD2D8}" name="PivotTable17"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12:F13" firstHeaderRow="1" firstDataRow="1" firstDataCol="0"/>
  <pivotFields count="10">
    <pivotField showAll="0"/>
    <pivotField showAll="0"/>
    <pivotField showAll="0"/>
    <pivotField showAll="0"/>
    <pivotField showAll="0"/>
    <pivotField showAll="0"/>
    <pivotField showAll="0"/>
    <pivotField showAll="0"/>
    <pivotField dataField="1" showAll="0">
      <items count="24">
        <item x="22"/>
        <item x="13"/>
        <item x="14"/>
        <item x="8"/>
        <item x="11"/>
        <item x="15"/>
        <item x="19"/>
        <item x="3"/>
        <item x="21"/>
        <item x="7"/>
        <item x="9"/>
        <item x="2"/>
        <item x="6"/>
        <item x="12"/>
        <item x="20"/>
        <item x="17"/>
        <item x="18"/>
        <item x="0"/>
        <item x="5"/>
        <item x="1"/>
        <item x="10"/>
        <item x="16"/>
        <item x="4"/>
        <item t="default"/>
      </items>
    </pivotField>
    <pivotField showAll="0">
      <items count="5">
        <item h="1" x="3"/>
        <item h="1" x="1"/>
        <item h="1" x="0"/>
        <item x="2"/>
        <item t="default"/>
      </items>
    </pivotField>
  </pivotFields>
  <rowItems count="1">
    <i/>
  </rowItems>
  <colItems count="1">
    <i/>
  </colItems>
  <dataFields count="1">
    <dataField name="Average Rating" fld="8" subtotal="average"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AD6EC39-18D2-442F-9482-0E853FBA3CB6}" name="Total number of reviews "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9:F10" firstHeaderRow="1" firstDataRow="1" firstDataCol="0"/>
  <pivotFields count="10">
    <pivotField showAll="0"/>
    <pivotField showAll="0"/>
    <pivotField showAll="0"/>
    <pivotField showAll="0"/>
    <pivotField showAll="0"/>
    <pivotField showAll="0"/>
    <pivotField dataField="1" showAll="0"/>
    <pivotField showAll="0"/>
    <pivotField showAll="0"/>
    <pivotField showAll="0">
      <items count="5">
        <item h="1" x="3"/>
        <item h="1" x="1"/>
        <item h="1" x="0"/>
        <item x="2"/>
        <item t="default"/>
      </items>
    </pivotField>
  </pivotFields>
  <rowItems count="1">
    <i/>
  </rowItems>
  <colItems count="1">
    <i/>
  </colItems>
  <dataFields count="1">
    <dataField name="Number of Reviews"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4E104DA-8740-4EAB-A937-C1DE995022DB}" name="Average discount percentage "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6:F7" firstHeaderRow="1" firstDataRow="1" firstDataCol="0"/>
  <pivotFields count="10">
    <pivotField showAll="0"/>
    <pivotField showAll="0"/>
    <pivotField showAll="0"/>
    <pivotField showAll="0"/>
    <pivotField dataField="1" showAll="0"/>
    <pivotField showAll="0"/>
    <pivotField showAll="0"/>
    <pivotField showAll="0"/>
    <pivotField showAll="0"/>
    <pivotField showAll="0">
      <items count="5">
        <item h="1" x="3"/>
        <item h="1" x="1"/>
        <item h="1" x="0"/>
        <item x="2"/>
        <item t="default"/>
      </items>
    </pivotField>
  </pivotFields>
  <rowItems count="1">
    <i/>
  </rowItems>
  <colItems count="1">
    <i/>
  </colItems>
  <dataFields count="1">
    <dataField name="Discount Average" fld="4" subtotal="average" baseField="0" baseItem="0"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D8F5017-ED7B-446A-ABDF-7E0650276BAA}" name="Total number of products "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F3:F4" firstHeaderRow="1" firstDataRow="1" firstDataCol="0"/>
  <pivotFields count="10">
    <pivotField dataField="1" showAll="0"/>
    <pivotField showAll="0"/>
    <pivotField showAll="0"/>
    <pivotField showAll="0"/>
    <pivotField showAll="0"/>
    <pivotField showAll="0"/>
    <pivotField showAll="0"/>
    <pivotField showAll="0"/>
    <pivotField showAll="0"/>
    <pivotField showAll="0">
      <items count="5">
        <item h="1" x="3"/>
        <item h="1" x="1"/>
        <item h="1" x="0"/>
        <item x="2"/>
        <item t="default"/>
      </items>
    </pivotField>
  </pivotFields>
  <rowItems count="1">
    <i/>
  </rowItems>
  <colItems count="1">
    <i/>
  </colItems>
  <dataFields count="1">
    <dataField name="Number of products "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289066F-89F8-4517-9699-378A9B4CB7A5}" name="PivotTable8"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16:I27" firstHeaderRow="1" firstDataRow="1" firstDataCol="1"/>
  <pivotFields count="10">
    <pivotField axis="axisRow" showAll="0" measureFilter="1">
      <items count="11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t="default"/>
      </items>
    </pivotField>
    <pivotField showAll="0"/>
    <pivotField showAll="0"/>
    <pivotField showAll="0"/>
    <pivotField showAll="0"/>
    <pivotField showAll="0"/>
    <pivotField showAll="0"/>
    <pivotField showAll="0"/>
    <pivotField dataField="1" showAll="0">
      <items count="24">
        <item x="22"/>
        <item x="13"/>
        <item x="14"/>
        <item x="8"/>
        <item x="11"/>
        <item x="15"/>
        <item x="19"/>
        <item x="3"/>
        <item x="21"/>
        <item x="7"/>
        <item x="9"/>
        <item x="2"/>
        <item x="6"/>
        <item x="12"/>
        <item x="20"/>
        <item x="17"/>
        <item x="18"/>
        <item x="0"/>
        <item x="5"/>
        <item x="1"/>
        <item x="10"/>
        <item x="16"/>
        <item x="4"/>
        <item t="default"/>
      </items>
    </pivotField>
    <pivotField showAll="0">
      <items count="5">
        <item h="1" x="3"/>
        <item h="1" x="1"/>
        <item h="1" x="0"/>
        <item x="2"/>
        <item t="default"/>
      </items>
    </pivotField>
  </pivotFields>
  <rowFields count="1">
    <field x="0"/>
  </rowFields>
  <rowItems count="11">
    <i>
      <x v="22"/>
    </i>
    <i>
      <x v="40"/>
    </i>
    <i>
      <x v="44"/>
    </i>
    <i>
      <x v="52"/>
    </i>
    <i>
      <x v="57"/>
    </i>
    <i>
      <x v="65"/>
    </i>
    <i>
      <x v="68"/>
    </i>
    <i>
      <x v="70"/>
    </i>
    <i>
      <x v="87"/>
    </i>
    <i>
      <x v="90"/>
    </i>
    <i t="grand">
      <x/>
    </i>
  </rowItems>
  <colItems count="1">
    <i/>
  </colItems>
  <dataFields count="1">
    <dataField name="Sum of Rating" fld="8" baseField="0" baseItem="0"/>
  </dataField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817EADF-2962-4B44-BC9B-4DFDB2322699}" name="Breakdown of products by discount category "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28:E32" firstHeaderRow="1" firstDataRow="1" firstDataCol="1"/>
  <pivotFields count="10">
    <pivotField dataField="1" showAll="0"/>
    <pivotField showAll="0"/>
    <pivotField showAll="0"/>
    <pivotField showAll="0"/>
    <pivotField showAll="0"/>
    <pivotField axis="axisRow" showAll="0">
      <items count="5">
        <item x="1"/>
        <item x="2"/>
        <item x="0"/>
        <item h="1" x="3"/>
        <item t="default"/>
      </items>
    </pivotField>
    <pivotField showAll="0"/>
    <pivotField showAll="0"/>
    <pivotField showAll="0"/>
    <pivotField showAll="0">
      <items count="5">
        <item h="1" x="3"/>
        <item h="1" x="1"/>
        <item h="1" x="0"/>
        <item x="2"/>
        <item t="default"/>
      </items>
    </pivotField>
  </pivotFields>
  <rowFields count="1">
    <field x="5"/>
  </rowFields>
  <rowItems count="4">
    <i>
      <x/>
    </i>
    <i>
      <x v="1"/>
    </i>
    <i>
      <x v="2"/>
    </i>
    <i t="grand">
      <x/>
    </i>
  </rowItems>
  <colItems count="1">
    <i/>
  </colItems>
  <dataFields count="1">
    <dataField name="Count of Product"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0FDF011-9CEF-44C7-9A77-258D2ECE0B71}" name="Breakdown of products by rating category "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22:E24" firstHeaderRow="1" firstDataRow="1" firstDataCol="1"/>
  <pivotFields count="10">
    <pivotField dataField="1" showAll="0">
      <items count="11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t="default"/>
      </items>
    </pivotField>
    <pivotField showAll="0"/>
    <pivotField showAll="0"/>
    <pivotField showAll="0"/>
    <pivotField showAll="0"/>
    <pivotField showAll="0"/>
    <pivotField showAll="0"/>
    <pivotField showAll="0"/>
    <pivotField showAll="0"/>
    <pivotField axis="axisRow" showAll="0">
      <items count="5">
        <item h="1" x="3"/>
        <item h="1" x="1"/>
        <item h="1" x="0"/>
        <item x="2"/>
        <item t="default"/>
      </items>
    </pivotField>
  </pivotFields>
  <rowFields count="1">
    <field x="9"/>
  </rowFields>
  <rowItems count="2">
    <i>
      <x v="3"/>
    </i>
    <i t="grand">
      <x/>
    </i>
  </rowItems>
  <colItems count="1">
    <i/>
  </colItems>
  <dataFields count="1">
    <dataField name="Count of Product"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E9291A4-5EB6-4CF5-8E6F-3F3ED16E56E6}" name="Top products by discount category"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2:B33" firstHeaderRow="1" firstDataRow="1" firstDataCol="1"/>
  <pivotFields count="10">
    <pivotField axis="axisRow" showAll="0" measureFilter="1">
      <items count="11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t="default"/>
      </items>
    </pivotField>
    <pivotField showAll="0"/>
    <pivotField showAll="0"/>
    <pivotField showAll="0"/>
    <pivotField dataField="1" showAll="0"/>
    <pivotField showAll="0"/>
    <pivotField showAll="0"/>
    <pivotField showAll="0"/>
    <pivotField showAll="0"/>
    <pivotField showAll="0">
      <items count="5">
        <item h="1" x="3"/>
        <item h="1" x="1"/>
        <item h="1" x="0"/>
        <item x="2"/>
        <item t="default"/>
      </items>
    </pivotField>
  </pivotFields>
  <rowFields count="1">
    <field x="0"/>
  </rowFields>
  <rowItems count="11">
    <i>
      <x v="20"/>
    </i>
    <i>
      <x v="30"/>
    </i>
    <i>
      <x v="31"/>
    </i>
    <i>
      <x v="39"/>
    </i>
    <i>
      <x v="52"/>
    </i>
    <i>
      <x v="53"/>
    </i>
    <i>
      <x v="67"/>
    </i>
    <i>
      <x v="70"/>
    </i>
    <i>
      <x v="84"/>
    </i>
    <i>
      <x v="99"/>
    </i>
    <i t="grand">
      <x/>
    </i>
  </rowItems>
  <colItems count="1">
    <i/>
  </colItems>
  <dataFields count="1">
    <dataField name="Sum of Discount" fld="4" baseField="0" baseItem="20" numFmtId="9"/>
  </dataField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65186AF-7274-46B1-B4AA-B6685DDC7A9F}" name=" Top products by number of reviews "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H3:I14" firstHeaderRow="1" firstDataRow="1" firstDataCol="1"/>
  <pivotFields count="10">
    <pivotField axis="axisRow" showAll="0" measureFilter="1">
      <items count="11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t="default"/>
      </items>
    </pivotField>
    <pivotField showAll="0"/>
    <pivotField showAll="0"/>
    <pivotField showAll="0"/>
    <pivotField showAll="0"/>
    <pivotField showAll="0">
      <items count="5">
        <item x="1"/>
        <item x="2"/>
        <item x="0"/>
        <item x="3"/>
        <item t="default"/>
      </items>
    </pivotField>
    <pivotField dataField="1" showAll="0">
      <items count="25">
        <item x="15"/>
        <item x="0"/>
        <item x="19"/>
        <item x="6"/>
        <item x="11"/>
        <item x="9"/>
        <item x="17"/>
        <item x="20"/>
        <item x="3"/>
        <item x="2"/>
        <item x="18"/>
        <item x="8"/>
        <item x="23"/>
        <item x="14"/>
        <item x="12"/>
        <item x="21"/>
        <item x="13"/>
        <item x="22"/>
        <item x="1"/>
        <item x="10"/>
        <item x="16"/>
        <item x="7"/>
        <item x="4"/>
        <item x="5"/>
        <item t="default"/>
      </items>
    </pivotField>
    <pivotField showAll="0"/>
    <pivotField showAll="0"/>
    <pivotField showAll="0">
      <items count="5">
        <item h="1" x="3"/>
        <item h="1" x="1"/>
        <item h="1" x="0"/>
        <item x="2"/>
        <item t="default"/>
      </items>
    </pivotField>
  </pivotFields>
  <rowFields count="1">
    <field x="0"/>
  </rowFields>
  <rowItems count="11">
    <i>
      <x v="1"/>
    </i>
    <i>
      <x v="5"/>
    </i>
    <i>
      <x v="8"/>
    </i>
    <i>
      <x v="18"/>
    </i>
    <i>
      <x v="26"/>
    </i>
    <i>
      <x v="27"/>
    </i>
    <i>
      <x v="28"/>
    </i>
    <i>
      <x v="59"/>
    </i>
    <i>
      <x v="91"/>
    </i>
    <i>
      <x v="95"/>
    </i>
    <i t="grand">
      <x/>
    </i>
  </rowItems>
  <colItems count="1">
    <i/>
  </colItems>
  <dataFields count="1">
    <dataField name="Sum of Review" fld="6" baseField="0" baseItem="0"/>
  </dataFields>
  <chartFormats count="1">
    <chartFormat chart="1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66C674F-2EDF-41D3-8DA1-ED69F30D2E82}" name="Top products by rating category "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5:B46" firstHeaderRow="1" firstDataRow="1" firstDataCol="1"/>
  <pivotFields count="10">
    <pivotField axis="axisRow" showAll="0" measureFilter="1">
      <items count="11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t="default"/>
      </items>
    </pivotField>
    <pivotField showAll="0">
      <items count="105">
        <item x="19"/>
        <item x="89"/>
        <item x="44"/>
        <item x="50"/>
        <item x="51"/>
        <item x="57"/>
        <item x="81"/>
        <item x="9"/>
        <item x="30"/>
        <item x="33"/>
        <item x="74"/>
        <item x="20"/>
        <item x="47"/>
        <item x="45"/>
        <item x="60"/>
        <item x="59"/>
        <item x="40"/>
        <item x="100"/>
        <item x="37"/>
        <item x="88"/>
        <item x="93"/>
        <item x="56"/>
        <item x="5"/>
        <item x="98"/>
        <item x="79"/>
        <item x="22"/>
        <item x="92"/>
        <item x="65"/>
        <item x="102"/>
        <item x="41"/>
        <item x="72"/>
        <item x="21"/>
        <item x="42"/>
        <item x="76"/>
        <item x="39"/>
        <item x="46"/>
        <item x="18"/>
        <item x="49"/>
        <item x="14"/>
        <item x="38"/>
        <item x="96"/>
        <item x="69"/>
        <item x="31"/>
        <item x="2"/>
        <item x="34"/>
        <item x="43"/>
        <item x="4"/>
        <item x="53"/>
        <item x="1"/>
        <item x="17"/>
        <item x="48"/>
        <item x="16"/>
        <item x="35"/>
        <item x="70"/>
        <item x="71"/>
        <item x="32"/>
        <item x="13"/>
        <item x="95"/>
        <item x="66"/>
        <item x="87"/>
        <item x="3"/>
        <item x="36"/>
        <item x="78"/>
        <item x="28"/>
        <item x="85"/>
        <item x="80"/>
        <item x="99"/>
        <item x="97"/>
        <item x="55"/>
        <item x="101"/>
        <item x="7"/>
        <item x="54"/>
        <item x="58"/>
        <item x="91"/>
        <item x="82"/>
        <item x="10"/>
        <item x="75"/>
        <item x="52"/>
        <item x="83"/>
        <item x="25"/>
        <item x="94"/>
        <item x="0"/>
        <item x="68"/>
        <item x="23"/>
        <item x="12"/>
        <item x="27"/>
        <item x="26"/>
        <item x="64"/>
        <item x="63"/>
        <item x="29"/>
        <item x="90"/>
        <item x="24"/>
        <item x="84"/>
        <item x="77"/>
        <item x="62"/>
        <item x="8"/>
        <item x="67"/>
        <item x="6"/>
        <item x="86"/>
        <item x="11"/>
        <item x="73"/>
        <item x="61"/>
        <item x="15"/>
        <item x="103"/>
        <item t="default"/>
      </items>
    </pivotField>
    <pivotField showAll="0"/>
    <pivotField showAll="0"/>
    <pivotField showAll="0"/>
    <pivotField showAll="0">
      <items count="5">
        <item x="1"/>
        <item x="2"/>
        <item x="0"/>
        <item x="3"/>
        <item t="default"/>
      </items>
    </pivotField>
    <pivotField showAll="0"/>
    <pivotField showAll="0"/>
    <pivotField dataField="1" showAll="0">
      <items count="24">
        <item x="22"/>
        <item x="13"/>
        <item x="14"/>
        <item x="8"/>
        <item x="11"/>
        <item x="15"/>
        <item x="19"/>
        <item x="3"/>
        <item x="21"/>
        <item x="7"/>
        <item x="9"/>
        <item x="2"/>
        <item x="6"/>
        <item x="12"/>
        <item x="20"/>
        <item x="17"/>
        <item x="18"/>
        <item x="0"/>
        <item x="5"/>
        <item x="1"/>
        <item x="10"/>
        <item x="16"/>
        <item x="4"/>
        <item t="default"/>
      </items>
    </pivotField>
    <pivotField showAll="0">
      <items count="5">
        <item h="1" x="3"/>
        <item h="1" x="1"/>
        <item x="0"/>
        <item h="1" x="2"/>
        <item t="default"/>
      </items>
    </pivotField>
  </pivotFields>
  <rowFields count="1">
    <field x="0"/>
  </rowFields>
  <rowItems count="11">
    <i>
      <x v="22"/>
    </i>
    <i>
      <x v="40"/>
    </i>
    <i>
      <x v="44"/>
    </i>
    <i>
      <x v="52"/>
    </i>
    <i>
      <x v="57"/>
    </i>
    <i>
      <x v="65"/>
    </i>
    <i>
      <x v="68"/>
    </i>
    <i>
      <x v="70"/>
    </i>
    <i>
      <x v="87"/>
    </i>
    <i>
      <x v="90"/>
    </i>
    <i t="grand">
      <x/>
    </i>
  </rowItems>
  <colItems count="1">
    <i/>
  </colItems>
  <dataFields count="1">
    <dataField name="Max of Rating" fld="8" subtotal="max" baseField="0" baseItem="0"/>
  </dataFields>
  <chartFormats count="11">
    <chartFormat chart="9" format="1" series="1">
      <pivotArea type="data" outline="0" fieldPosition="0">
        <references count="1">
          <reference field="4294967294" count="1" selected="0">
            <x v="0"/>
          </reference>
        </references>
      </pivotArea>
    </chartFormat>
    <chartFormat chart="9" format="2">
      <pivotArea type="data" outline="0" fieldPosition="0">
        <references count="2">
          <reference field="4294967294" count="1" selected="0">
            <x v="0"/>
          </reference>
          <reference field="0" count="1" selected="0">
            <x v="22"/>
          </reference>
        </references>
      </pivotArea>
    </chartFormat>
    <chartFormat chart="9" format="3">
      <pivotArea type="data" outline="0" fieldPosition="0">
        <references count="2">
          <reference field="4294967294" count="1" selected="0">
            <x v="0"/>
          </reference>
          <reference field="0" count="1" selected="0">
            <x v="40"/>
          </reference>
        </references>
      </pivotArea>
    </chartFormat>
    <chartFormat chart="9" format="4">
      <pivotArea type="data" outline="0" fieldPosition="0">
        <references count="2">
          <reference field="4294967294" count="1" selected="0">
            <x v="0"/>
          </reference>
          <reference field="0" count="1" selected="0">
            <x v="44"/>
          </reference>
        </references>
      </pivotArea>
    </chartFormat>
    <chartFormat chart="9" format="5">
      <pivotArea type="data" outline="0" fieldPosition="0">
        <references count="2">
          <reference field="4294967294" count="1" selected="0">
            <x v="0"/>
          </reference>
          <reference field="0" count="1" selected="0">
            <x v="52"/>
          </reference>
        </references>
      </pivotArea>
    </chartFormat>
    <chartFormat chart="9" format="6">
      <pivotArea type="data" outline="0" fieldPosition="0">
        <references count="2">
          <reference field="4294967294" count="1" selected="0">
            <x v="0"/>
          </reference>
          <reference field="0" count="1" selected="0">
            <x v="57"/>
          </reference>
        </references>
      </pivotArea>
    </chartFormat>
    <chartFormat chart="9" format="7">
      <pivotArea type="data" outline="0" fieldPosition="0">
        <references count="2">
          <reference field="4294967294" count="1" selected="0">
            <x v="0"/>
          </reference>
          <reference field="0" count="1" selected="0">
            <x v="65"/>
          </reference>
        </references>
      </pivotArea>
    </chartFormat>
    <chartFormat chart="9" format="8">
      <pivotArea type="data" outline="0" fieldPosition="0">
        <references count="2">
          <reference field="4294967294" count="1" selected="0">
            <x v="0"/>
          </reference>
          <reference field="0" count="1" selected="0">
            <x v="68"/>
          </reference>
        </references>
      </pivotArea>
    </chartFormat>
    <chartFormat chart="9" format="9">
      <pivotArea type="data" outline="0" fieldPosition="0">
        <references count="2">
          <reference field="4294967294" count="1" selected="0">
            <x v="0"/>
          </reference>
          <reference field="0" count="1" selected="0">
            <x v="70"/>
          </reference>
        </references>
      </pivotArea>
    </chartFormat>
    <chartFormat chart="9" format="10">
      <pivotArea type="data" outline="0" fieldPosition="0">
        <references count="2">
          <reference field="4294967294" count="1" selected="0">
            <x v="0"/>
          </reference>
          <reference field="0" count="1" selected="0">
            <x v="87"/>
          </reference>
        </references>
      </pivotArea>
    </chartFormat>
    <chartFormat chart="9" format="11">
      <pivotArea type="data" outline="0" fieldPosition="0">
        <references count="2">
          <reference field="4294967294" count="1" selected="0">
            <x v="0"/>
          </reference>
          <reference field="0" count="1" selected="0">
            <x v="9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27EC5F0-3370-4C91-9F08-5B4BD9AC8F51}" name=" discount percentage versus review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7" firstHeaderRow="0" firstDataRow="1" firstDataCol="1"/>
  <pivotFields count="10">
    <pivotField showAll="0"/>
    <pivotField showAll="0"/>
    <pivotField showAll="0"/>
    <pivotField showAll="0"/>
    <pivotField dataField="1" numFmtId="9" showAll="0"/>
    <pivotField axis="axisRow" showAll="0">
      <items count="4">
        <item x="1"/>
        <item x="2"/>
        <item x="0"/>
        <item t="default"/>
      </items>
    </pivotField>
    <pivotField showAll="0"/>
    <pivotField showAll="0"/>
    <pivotField dataField="1" showAll="0"/>
    <pivotField showAll="0"/>
  </pivotFields>
  <rowFields count="1">
    <field x="5"/>
  </rowFields>
  <rowItems count="4">
    <i>
      <x/>
    </i>
    <i>
      <x v="1"/>
    </i>
    <i>
      <x v="2"/>
    </i>
    <i t="grand">
      <x/>
    </i>
  </rowItems>
  <colFields count="1">
    <field x="-2"/>
  </colFields>
  <colItems count="2">
    <i>
      <x/>
    </i>
    <i i="1">
      <x v="1"/>
    </i>
  </colItems>
  <dataFields count="2">
    <dataField name="Average of Rating" fld="8" subtotal="average" baseField="5" baseItem="0" numFmtId="2"/>
    <dataField name="Average of Discount" fld="4" subtotal="average" baseField="5" baseItem="0"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A26AD1D-7482-44C6-BC9E-648393708A08}" name=" rating versus review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D20" firstHeaderRow="0" firstDataRow="1" firstDataCol="1"/>
  <pivotFields count="10">
    <pivotField axis="axisRow" showAll="0">
      <items count="11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t="default"/>
      </items>
    </pivotField>
    <pivotField showAll="0"/>
    <pivotField showAll="0"/>
    <pivotField showAll="0"/>
    <pivotField dataField="1" numFmtId="9" showAll="0"/>
    <pivotField showAll="0">
      <items count="4">
        <item x="1"/>
        <item h="1" x="2"/>
        <item h="1" x="0"/>
        <item t="default"/>
      </items>
    </pivotField>
    <pivotField dataField="1" showAll="0"/>
    <pivotField showAll="0"/>
    <pivotField dataField="1" showAll="0">
      <items count="24">
        <item x="22"/>
        <item x="13"/>
        <item x="14"/>
        <item x="8"/>
        <item x="11"/>
        <item x="15"/>
        <item x="19"/>
        <item x="3"/>
        <item x="21"/>
        <item x="7"/>
        <item x="9"/>
        <item x="2"/>
        <item x="6"/>
        <item x="12"/>
        <item x="20"/>
        <item x="17"/>
        <item x="18"/>
        <item x="0"/>
        <item x="5"/>
        <item x="1"/>
        <item x="10"/>
        <item x="16"/>
        <item x="4"/>
        <item t="default"/>
      </items>
    </pivotField>
    <pivotField showAll="0">
      <items count="5">
        <item h="1" x="3"/>
        <item h="1" x="1"/>
        <item x="0"/>
        <item h="1" x="2"/>
        <item t="default"/>
      </items>
    </pivotField>
  </pivotFields>
  <rowFields count="1">
    <field x="0"/>
  </rowFields>
  <rowItems count="11">
    <i>
      <x v="18"/>
    </i>
    <i>
      <x v="22"/>
    </i>
    <i>
      <x v="40"/>
    </i>
    <i>
      <x v="44"/>
    </i>
    <i>
      <x v="52"/>
    </i>
    <i>
      <x v="57"/>
    </i>
    <i>
      <x v="68"/>
    </i>
    <i>
      <x v="69"/>
    </i>
    <i>
      <x v="70"/>
    </i>
    <i>
      <x v="87"/>
    </i>
    <i t="grand">
      <x/>
    </i>
  </rowItems>
  <colFields count="1">
    <field x="-2"/>
  </colFields>
  <colItems count="3">
    <i>
      <x/>
    </i>
    <i i="1">
      <x v="1"/>
    </i>
    <i i="2">
      <x v="2"/>
    </i>
  </colItems>
  <dataFields count="3">
    <dataField name="Max of Discount" fld="4" subtotal="max" baseField="0" baseItem="0" numFmtId="9"/>
    <dataField name="Max of Rating" fld="8" subtotal="max" baseField="0" baseItem="0"/>
    <dataField name="Sum of Review"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_Category" xr10:uid="{922D926C-322E-4A2F-B7D5-36018682DDF6}" sourceName="Rating Category">
  <pivotTables>
    <pivotTable tabId="2" name="Top products by rating category "/>
  </pivotTables>
  <data>
    <tabular pivotCacheId="610686451">
      <items count="4">
        <i x="3"/>
        <i x="1"/>
        <i x="0" s="1"/>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_Category" xr10:uid="{86EC04F3-CE0C-4E36-AAF2-71C8EC1335FB}" sourceName="Discount Category">
  <pivotTables>
    <pivotTable tabId="2" name=" Top products by number of reviews "/>
  </pivotTables>
  <data>
    <tabular pivotCacheId="610686451">
      <items count="4">
        <i x="1" s="1"/>
        <i x="2" s="1"/>
        <i x="0" s="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ating Category" xr10:uid="{4CF42BE6-345E-4D6A-B6E6-381A55FC4EF5}" cache="Slicer_Rating_Category" caption="Rating Category" style="SlicerStyleLight3" rowHeight="198966"/>
  <slicer name="Discount Category" xr10:uid="{A6F5C480-F628-4762-9C86-2E0DA786178E}" cache="Slicer_Discount_Category" caption="Discount Category" style="SlicerStyleLight3" rowHeight="198966"/>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FBBA-92A8-4B35-AD74-E471B7276C80}">
  <dimension ref="A4:F13"/>
  <sheetViews>
    <sheetView tabSelected="1" workbookViewId="0">
      <selection activeCell="T35" sqref="T35"/>
    </sheetView>
  </sheetViews>
  <sheetFormatPr defaultRowHeight="12" x14ac:dyDescent="0.35"/>
  <sheetData>
    <row r="4" spans="1:6" x14ac:dyDescent="0.35">
      <c r="F4" s="14"/>
    </row>
    <row r="10" spans="1:6" x14ac:dyDescent="0.35">
      <c r="F10" s="1"/>
    </row>
    <row r="13" spans="1:6" x14ac:dyDescent="0.35">
      <c r="A13" s="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9CF064-FA9D-4C6D-8BE1-F8C84F0E859B}">
  <dimension ref="A3:I46"/>
  <sheetViews>
    <sheetView zoomScale="60" zoomScaleNormal="60" workbookViewId="0">
      <selection activeCell="A30" sqref="A23:A32"/>
    </sheetView>
  </sheetViews>
  <sheetFormatPr defaultRowHeight="12" x14ac:dyDescent="0.35"/>
  <cols>
    <col min="1" max="1" width="76" bestFit="1" customWidth="1"/>
    <col min="2" max="2" width="17.625" bestFit="1" customWidth="1"/>
    <col min="3" max="3" width="25.5" bestFit="1" customWidth="1"/>
    <col min="4" max="4" width="19.75" bestFit="1" customWidth="1"/>
    <col min="5" max="5" width="21.625" bestFit="1" customWidth="1"/>
    <col min="6" max="6" width="23.875" bestFit="1" customWidth="1"/>
    <col min="7" max="7" width="21.625" bestFit="1" customWidth="1"/>
    <col min="8" max="8" width="73.875" bestFit="1" customWidth="1"/>
    <col min="9" max="10" width="18.625" bestFit="1" customWidth="1"/>
    <col min="11" max="11" width="14.75" bestFit="1" customWidth="1"/>
    <col min="12" max="12" width="17.5" bestFit="1" customWidth="1"/>
  </cols>
  <sheetData>
    <row r="3" spans="1:9" x14ac:dyDescent="0.35">
      <c r="A3" s="12" t="s">
        <v>142</v>
      </c>
      <c r="B3" t="s">
        <v>148</v>
      </c>
      <c r="C3" t="s">
        <v>147</v>
      </c>
      <c r="F3" t="s">
        <v>156</v>
      </c>
      <c r="H3" s="12" t="s">
        <v>142</v>
      </c>
      <c r="I3" t="s">
        <v>152</v>
      </c>
    </row>
    <row r="4" spans="1:9" x14ac:dyDescent="0.35">
      <c r="A4" s="13" t="s">
        <v>143</v>
      </c>
      <c r="B4" s="7">
        <v>3.6580645161290319</v>
      </c>
      <c r="C4" s="1">
        <v>0.48206349206349197</v>
      </c>
      <c r="F4" s="14">
        <v>112</v>
      </c>
      <c r="G4" s="15">
        <f>GETPIVOTDATA("Product",$F$3)</f>
        <v>112</v>
      </c>
      <c r="H4" s="13" t="s">
        <v>23</v>
      </c>
      <c r="I4" s="14">
        <v>39</v>
      </c>
    </row>
    <row r="5" spans="1:9" x14ac:dyDescent="0.35">
      <c r="A5" s="13" t="s">
        <v>144</v>
      </c>
      <c r="B5" s="7">
        <v>3.7249999999999996</v>
      </c>
      <c r="C5" s="1">
        <v>7.2222222222222243E-2</v>
      </c>
      <c r="G5" s="15"/>
      <c r="H5" s="13" t="s">
        <v>81</v>
      </c>
      <c r="I5" s="14">
        <v>69</v>
      </c>
    </row>
    <row r="6" spans="1:9" x14ac:dyDescent="0.35">
      <c r="A6" s="13" t="s">
        <v>145</v>
      </c>
      <c r="B6" s="7">
        <v>4.245454545454546</v>
      </c>
      <c r="C6" s="1">
        <v>0.30709677419354842</v>
      </c>
      <c r="F6" t="s">
        <v>157</v>
      </c>
      <c r="G6" s="15"/>
      <c r="H6" s="13" t="s">
        <v>17</v>
      </c>
      <c r="I6" s="14">
        <v>55</v>
      </c>
    </row>
    <row r="7" spans="1:9" x14ac:dyDescent="0.35">
      <c r="A7" s="13" t="s">
        <v>146</v>
      </c>
      <c r="B7" s="7">
        <v>3.8894736842105253</v>
      </c>
      <c r="C7" s="1">
        <v>0.36776785714285726</v>
      </c>
      <c r="F7" s="1">
        <v>0.36776785714285704</v>
      </c>
      <c r="G7" s="16">
        <f>GETPIVOTDATA("Discount",$F$6)</f>
        <v>0.36776785714285704</v>
      </c>
      <c r="H7" s="13" t="s">
        <v>33</v>
      </c>
      <c r="I7" s="14">
        <v>44</v>
      </c>
    </row>
    <row r="8" spans="1:9" x14ac:dyDescent="0.35">
      <c r="G8" s="15"/>
      <c r="H8" s="13" t="s">
        <v>45</v>
      </c>
      <c r="I8" s="14">
        <v>20</v>
      </c>
    </row>
    <row r="9" spans="1:9" x14ac:dyDescent="0.35">
      <c r="A9" s="12" t="s">
        <v>142</v>
      </c>
      <c r="B9" t="s">
        <v>151</v>
      </c>
      <c r="C9" t="s">
        <v>153</v>
      </c>
      <c r="D9" t="s">
        <v>152</v>
      </c>
      <c r="F9" t="s">
        <v>158</v>
      </c>
      <c r="G9" s="15"/>
      <c r="H9" s="13" t="s">
        <v>51</v>
      </c>
      <c r="I9" s="14">
        <v>32</v>
      </c>
    </row>
    <row r="10" spans="1:9" x14ac:dyDescent="0.35">
      <c r="A10" s="13" t="s">
        <v>33</v>
      </c>
      <c r="B10" s="1">
        <v>0.49</v>
      </c>
      <c r="C10" s="14">
        <v>4.5999999999999996</v>
      </c>
      <c r="D10" s="14">
        <v>44</v>
      </c>
      <c r="F10" s="14">
        <v>723</v>
      </c>
      <c r="G10" s="15">
        <f>GETPIVOTDATA("Review",$F$9)</f>
        <v>723</v>
      </c>
      <c r="H10" s="13" t="s">
        <v>50</v>
      </c>
      <c r="I10" s="14">
        <v>20</v>
      </c>
    </row>
    <row r="11" spans="1:9" x14ac:dyDescent="0.35">
      <c r="A11" s="13" t="s">
        <v>24</v>
      </c>
      <c r="B11" s="1">
        <v>0.47</v>
      </c>
      <c r="C11" s="14">
        <v>4.8</v>
      </c>
      <c r="D11" s="14">
        <v>12</v>
      </c>
      <c r="G11" s="15"/>
      <c r="H11" s="13" t="s">
        <v>42</v>
      </c>
      <c r="I11" s="14">
        <v>49</v>
      </c>
    </row>
    <row r="12" spans="1:9" x14ac:dyDescent="0.35">
      <c r="A12" s="13" t="s">
        <v>28</v>
      </c>
      <c r="B12" s="1">
        <v>0.51</v>
      </c>
      <c r="C12" s="14">
        <v>5</v>
      </c>
      <c r="D12" s="14">
        <v>2</v>
      </c>
      <c r="F12" t="s">
        <v>159</v>
      </c>
      <c r="G12" s="15"/>
      <c r="H12" s="13" t="s">
        <v>9</v>
      </c>
      <c r="I12" s="14">
        <v>24</v>
      </c>
    </row>
    <row r="13" spans="1:9" x14ac:dyDescent="0.35">
      <c r="A13" s="13" t="s">
        <v>104</v>
      </c>
      <c r="B13" s="1">
        <v>0.49</v>
      </c>
      <c r="C13" s="14">
        <v>5</v>
      </c>
      <c r="D13" s="14">
        <v>1</v>
      </c>
      <c r="F13" s="7">
        <v>3.8894736842105266</v>
      </c>
      <c r="G13" s="17">
        <f>GETPIVOTDATA("Rating",$F$12)</f>
        <v>3.8894736842105266</v>
      </c>
      <c r="H13" s="13" t="s">
        <v>54</v>
      </c>
      <c r="I13" s="14">
        <v>36</v>
      </c>
    </row>
    <row r="14" spans="1:9" x14ac:dyDescent="0.35">
      <c r="A14" s="13" t="s">
        <v>53</v>
      </c>
      <c r="B14" s="1">
        <v>0.53</v>
      </c>
      <c r="C14" s="14">
        <v>5</v>
      </c>
      <c r="D14" s="14">
        <v>2</v>
      </c>
      <c r="H14" s="13" t="s">
        <v>146</v>
      </c>
      <c r="I14" s="14">
        <v>388</v>
      </c>
    </row>
    <row r="15" spans="1:9" x14ac:dyDescent="0.35">
      <c r="A15" s="13" t="s">
        <v>52</v>
      </c>
      <c r="B15" s="1">
        <v>0.4</v>
      </c>
      <c r="C15" s="14">
        <v>5</v>
      </c>
      <c r="D15" s="14">
        <v>1</v>
      </c>
    </row>
    <row r="16" spans="1:9" x14ac:dyDescent="0.35">
      <c r="A16" s="13" t="s">
        <v>31</v>
      </c>
      <c r="B16" s="1">
        <v>0.49</v>
      </c>
      <c r="C16" s="14">
        <v>5</v>
      </c>
      <c r="D16" s="14">
        <v>3</v>
      </c>
      <c r="H16" s="12" t="s">
        <v>142</v>
      </c>
      <c r="I16" t="s">
        <v>155</v>
      </c>
    </row>
    <row r="17" spans="1:9" x14ac:dyDescent="0.35">
      <c r="A17" s="13" t="s">
        <v>25</v>
      </c>
      <c r="B17" s="1">
        <v>0.42</v>
      </c>
      <c r="C17" s="14">
        <v>4.5</v>
      </c>
      <c r="D17" s="14">
        <v>6</v>
      </c>
      <c r="H17" s="13" t="s">
        <v>24</v>
      </c>
      <c r="I17" s="14">
        <v>4.8</v>
      </c>
    </row>
    <row r="18" spans="1:9" x14ac:dyDescent="0.35">
      <c r="A18" s="13" t="s">
        <v>19</v>
      </c>
      <c r="B18" s="1">
        <v>0.55000000000000004</v>
      </c>
      <c r="C18" s="14">
        <v>4.8</v>
      </c>
      <c r="D18" s="14">
        <v>5</v>
      </c>
      <c r="H18" s="13" t="s">
        <v>28</v>
      </c>
      <c r="I18" s="14">
        <v>5</v>
      </c>
    </row>
    <row r="19" spans="1:9" x14ac:dyDescent="0.35">
      <c r="A19" s="13" t="s">
        <v>30</v>
      </c>
      <c r="B19" s="1">
        <v>0.46</v>
      </c>
      <c r="C19" s="14">
        <v>5</v>
      </c>
      <c r="D19" s="14">
        <v>2</v>
      </c>
      <c r="H19" s="13" t="s">
        <v>104</v>
      </c>
      <c r="I19" s="14">
        <v>5</v>
      </c>
    </row>
    <row r="20" spans="1:9" x14ac:dyDescent="0.35">
      <c r="A20" s="13" t="s">
        <v>146</v>
      </c>
      <c r="B20" s="1">
        <v>0.55000000000000004</v>
      </c>
      <c r="C20" s="14">
        <v>5</v>
      </c>
      <c r="D20" s="14">
        <v>78</v>
      </c>
      <c r="H20" s="13" t="s">
        <v>53</v>
      </c>
      <c r="I20" s="14">
        <v>5</v>
      </c>
    </row>
    <row r="21" spans="1:9" x14ac:dyDescent="0.35">
      <c r="H21" s="13" t="s">
        <v>52</v>
      </c>
      <c r="I21" s="14">
        <v>5</v>
      </c>
    </row>
    <row r="22" spans="1:9" x14ac:dyDescent="0.35">
      <c r="A22" s="12" t="s">
        <v>142</v>
      </c>
      <c r="B22" t="s">
        <v>154</v>
      </c>
      <c r="D22" s="12" t="s">
        <v>142</v>
      </c>
      <c r="E22" t="s">
        <v>150</v>
      </c>
      <c r="H22" s="13" t="s">
        <v>124</v>
      </c>
      <c r="I22" s="14">
        <v>5</v>
      </c>
    </row>
    <row r="23" spans="1:9" x14ac:dyDescent="0.35">
      <c r="A23" s="13" t="s">
        <v>34</v>
      </c>
      <c r="B23" s="1">
        <v>0.53</v>
      </c>
      <c r="D23" s="13" t="s">
        <v>149</v>
      </c>
      <c r="E23" s="14">
        <v>12</v>
      </c>
      <c r="H23" s="13" t="s">
        <v>31</v>
      </c>
      <c r="I23" s="14">
        <v>5</v>
      </c>
    </row>
    <row r="24" spans="1:9" x14ac:dyDescent="0.35">
      <c r="A24" s="13" t="s">
        <v>79</v>
      </c>
      <c r="B24" s="1">
        <v>0.55000000000000004</v>
      </c>
      <c r="D24" s="13" t="s">
        <v>146</v>
      </c>
      <c r="E24" s="14">
        <v>12</v>
      </c>
      <c r="H24" s="13" t="s">
        <v>19</v>
      </c>
      <c r="I24" s="14">
        <v>4.8</v>
      </c>
    </row>
    <row r="25" spans="1:9" x14ac:dyDescent="0.35">
      <c r="A25" s="13" t="s">
        <v>132</v>
      </c>
      <c r="B25" s="1">
        <v>0.64</v>
      </c>
      <c r="H25" s="13" t="s">
        <v>30</v>
      </c>
      <c r="I25" s="14">
        <v>5</v>
      </c>
    </row>
    <row r="26" spans="1:9" x14ac:dyDescent="0.35">
      <c r="A26" s="13" t="s">
        <v>73</v>
      </c>
      <c r="B26" s="1">
        <v>0.98</v>
      </c>
      <c r="H26" s="13" t="s">
        <v>13</v>
      </c>
      <c r="I26" s="14">
        <v>4.8</v>
      </c>
    </row>
    <row r="27" spans="1:9" x14ac:dyDescent="0.35">
      <c r="A27" s="13" t="s">
        <v>53</v>
      </c>
      <c r="B27" s="1">
        <v>0.53</v>
      </c>
      <c r="H27" s="13" t="s">
        <v>146</v>
      </c>
      <c r="I27" s="14">
        <v>49.399999999999991</v>
      </c>
    </row>
    <row r="28" spans="1:9" x14ac:dyDescent="0.35">
      <c r="A28" s="13" t="s">
        <v>65</v>
      </c>
      <c r="B28" s="1">
        <v>1.1000000000000001</v>
      </c>
      <c r="D28" s="12" t="s">
        <v>142</v>
      </c>
      <c r="E28" t="s">
        <v>150</v>
      </c>
    </row>
    <row r="29" spans="1:9" x14ac:dyDescent="0.35">
      <c r="A29" s="13" t="s">
        <v>40</v>
      </c>
      <c r="B29" s="1">
        <v>0.54</v>
      </c>
      <c r="D29" s="13" t="s">
        <v>143</v>
      </c>
      <c r="E29" s="14">
        <v>63</v>
      </c>
    </row>
    <row r="30" spans="1:9" x14ac:dyDescent="0.35">
      <c r="A30" s="13" t="s">
        <v>19</v>
      </c>
      <c r="B30" s="1">
        <v>0.55000000000000004</v>
      </c>
      <c r="D30" s="13" t="s">
        <v>144</v>
      </c>
      <c r="E30" s="14">
        <v>18</v>
      </c>
    </row>
    <row r="31" spans="1:9" x14ac:dyDescent="0.35">
      <c r="A31" s="13" t="s">
        <v>77</v>
      </c>
      <c r="B31" s="1">
        <v>0.54</v>
      </c>
      <c r="D31" s="13" t="s">
        <v>145</v>
      </c>
      <c r="E31" s="14">
        <v>31</v>
      </c>
    </row>
    <row r="32" spans="1:9" x14ac:dyDescent="0.35">
      <c r="A32" s="13" t="s">
        <v>71</v>
      </c>
      <c r="B32" s="1">
        <v>1</v>
      </c>
      <c r="D32" s="13" t="s">
        <v>146</v>
      </c>
      <c r="E32" s="14">
        <v>112</v>
      </c>
    </row>
    <row r="33" spans="1:2" x14ac:dyDescent="0.35">
      <c r="A33" s="13" t="s">
        <v>146</v>
      </c>
      <c r="B33" s="1">
        <v>6.96</v>
      </c>
    </row>
    <row r="35" spans="1:2" x14ac:dyDescent="0.35">
      <c r="A35" s="12" t="s">
        <v>142</v>
      </c>
      <c r="B35" t="s">
        <v>153</v>
      </c>
    </row>
    <row r="36" spans="1:2" x14ac:dyDescent="0.35">
      <c r="A36" s="13" t="s">
        <v>24</v>
      </c>
      <c r="B36" s="14">
        <v>4.8</v>
      </c>
    </row>
    <row r="37" spans="1:2" x14ac:dyDescent="0.35">
      <c r="A37" s="13" t="s">
        <v>28</v>
      </c>
      <c r="B37" s="14">
        <v>5</v>
      </c>
    </row>
    <row r="38" spans="1:2" x14ac:dyDescent="0.35">
      <c r="A38" s="13" t="s">
        <v>104</v>
      </c>
      <c r="B38" s="14">
        <v>5</v>
      </c>
    </row>
    <row r="39" spans="1:2" x14ac:dyDescent="0.35">
      <c r="A39" s="13" t="s">
        <v>53</v>
      </c>
      <c r="B39" s="14">
        <v>5</v>
      </c>
    </row>
    <row r="40" spans="1:2" x14ac:dyDescent="0.35">
      <c r="A40" s="13" t="s">
        <v>52</v>
      </c>
      <c r="B40" s="14">
        <v>5</v>
      </c>
    </row>
    <row r="41" spans="1:2" x14ac:dyDescent="0.35">
      <c r="A41" s="13" t="s">
        <v>124</v>
      </c>
      <c r="B41" s="14">
        <v>5</v>
      </c>
    </row>
    <row r="42" spans="1:2" x14ac:dyDescent="0.35">
      <c r="A42" s="13" t="s">
        <v>31</v>
      </c>
      <c r="B42" s="14">
        <v>5</v>
      </c>
    </row>
    <row r="43" spans="1:2" x14ac:dyDescent="0.35">
      <c r="A43" s="13" t="s">
        <v>19</v>
      </c>
      <c r="B43" s="14">
        <v>4.8</v>
      </c>
    </row>
    <row r="44" spans="1:2" x14ac:dyDescent="0.35">
      <c r="A44" s="13" t="s">
        <v>30</v>
      </c>
      <c r="B44" s="14">
        <v>5</v>
      </c>
    </row>
    <row r="45" spans="1:2" x14ac:dyDescent="0.35">
      <c r="A45" s="13" t="s">
        <v>13</v>
      </c>
      <c r="B45" s="14">
        <v>4.8</v>
      </c>
    </row>
    <row r="46" spans="1:2" x14ac:dyDescent="0.35">
      <c r="A46" s="13" t="s">
        <v>146</v>
      </c>
      <c r="B46" s="14">
        <v>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92B55E-DB70-4427-AE63-42119284A535}">
  <dimension ref="A1:J114"/>
  <sheetViews>
    <sheetView workbookViewId="0">
      <selection activeCell="J109" sqref="J109"/>
    </sheetView>
  </sheetViews>
  <sheetFormatPr defaultRowHeight="12" x14ac:dyDescent="0.35"/>
  <cols>
    <col min="1" max="1" width="98" bestFit="1" customWidth="1"/>
    <col min="2" max="3" width="20.375" style="4" bestFit="1" customWidth="1"/>
    <col min="4" max="4" width="17.125" style="4" bestFit="1" customWidth="1"/>
    <col min="5" max="5" width="9" style="9"/>
    <col min="6" max="6" width="18.625" style="1" bestFit="1" customWidth="1"/>
    <col min="8" max="8" width="11.25" style="7" bestFit="1" customWidth="1"/>
    <col min="9" max="9" width="9" style="11"/>
    <col min="10" max="10" width="16.375" bestFit="1" customWidth="1"/>
  </cols>
  <sheetData>
    <row r="1" spans="1:10" s="2" customFormat="1" x14ac:dyDescent="0.35">
      <c r="A1" s="2" t="s">
        <v>0</v>
      </c>
      <c r="B1" s="3" t="s">
        <v>1</v>
      </c>
      <c r="C1" s="3" t="s">
        <v>2</v>
      </c>
      <c r="D1" s="3" t="s">
        <v>136</v>
      </c>
      <c r="E1" s="8" t="s">
        <v>3</v>
      </c>
      <c r="F1" s="5" t="s">
        <v>141</v>
      </c>
      <c r="G1" s="2" t="s">
        <v>4</v>
      </c>
      <c r="H1" s="6" t="s">
        <v>137</v>
      </c>
      <c r="I1" s="10" t="s">
        <v>138</v>
      </c>
      <c r="J1" s="2" t="s">
        <v>139</v>
      </c>
    </row>
    <row r="2" spans="1:10" x14ac:dyDescent="0.35">
      <c r="A2" t="s">
        <v>55</v>
      </c>
      <c r="B2" s="4">
        <f>AVERAGE(1620, 1980)</f>
        <v>1800</v>
      </c>
      <c r="C2" s="4">
        <f>AVERAGE(2200, 3200)</f>
        <v>2700</v>
      </c>
      <c r="D2" s="4">
        <f>C2-B2</f>
        <v>900</v>
      </c>
      <c r="E2" s="9">
        <v>0.38</v>
      </c>
      <c r="F2" s="1" t="str">
        <f>IF(E2&lt;20%, "Low", IF(E2&lt;40%, "Medium", "High"))</f>
        <v>Medium</v>
      </c>
      <c r="G2">
        <v>2</v>
      </c>
      <c r="H2" s="7" t="s">
        <v>6</v>
      </c>
      <c r="I2" s="11">
        <f>IFERROR(VALUE(LEFT(H2, FIND(" ", H2)-1)), "")</f>
        <v>4.5</v>
      </c>
      <c r="J2" t="str" cm="1">
        <f t="array" ref="J2">IFERROR(_xlfn.IFS(I2="", "", I2&lt;3,"Poor", I2&lt;=4.4,"Average", I2&gt;=4.5,"Excellent"), "")</f>
        <v>Excellent</v>
      </c>
    </row>
    <row r="3" spans="1:10" x14ac:dyDescent="0.35">
      <c r="A3" t="s">
        <v>23</v>
      </c>
      <c r="B3" s="4">
        <v>990</v>
      </c>
      <c r="C3" s="4">
        <v>1500</v>
      </c>
      <c r="D3" s="4">
        <f>C3-B3</f>
        <v>510</v>
      </c>
      <c r="E3" s="9">
        <v>0.34</v>
      </c>
      <c r="F3" s="1" t="str">
        <f t="shared" ref="F3:F66" si="0">IF(E3&lt;20%, "Low", IF(E3&lt;40%, "Medium", "High"))</f>
        <v>Medium</v>
      </c>
      <c r="G3">
        <v>39</v>
      </c>
      <c r="H3" s="7" t="s">
        <v>12</v>
      </c>
      <c r="I3" s="11">
        <f t="shared" ref="I3:I66" si="1">IFERROR(VALUE(LEFT(H3, FIND(" ", H3)-1)), "")</f>
        <v>4.7</v>
      </c>
      <c r="J3" t="str" cm="1">
        <f t="array" ref="J3">IFERROR(_xlfn.IFS(I3="", "", I3&lt;3,"Poor", I3&lt;=4.4,"Average", I3&gt;=4.5,"Excellent"), "")</f>
        <v>Excellent</v>
      </c>
    </row>
    <row r="4" spans="1:10" x14ac:dyDescent="0.35">
      <c r="A4" t="s">
        <v>5</v>
      </c>
      <c r="B4" s="4">
        <v>950</v>
      </c>
      <c r="C4" s="4">
        <v>1525</v>
      </c>
      <c r="D4" s="4">
        <f>C4-B4</f>
        <v>575</v>
      </c>
      <c r="E4" s="9">
        <v>0.38</v>
      </c>
      <c r="F4" s="1" t="str">
        <f t="shared" si="0"/>
        <v>Medium</v>
      </c>
      <c r="G4">
        <v>2</v>
      </c>
      <c r="H4" s="7" t="s">
        <v>6</v>
      </c>
      <c r="I4" s="11">
        <f t="shared" si="1"/>
        <v>4.5</v>
      </c>
      <c r="J4" t="str" cm="1">
        <f t="array" ref="J4">IFERROR(_xlfn.IFS(I4="", "", I4&lt;3,"Poor", I4&lt;=4.4,"Average", I4&gt;=4.5,"Excellent"), "")</f>
        <v>Excellent</v>
      </c>
    </row>
    <row r="5" spans="1:10" x14ac:dyDescent="0.35">
      <c r="A5" t="s">
        <v>44</v>
      </c>
      <c r="B5" s="4">
        <v>1350</v>
      </c>
      <c r="C5" s="4">
        <v>1990</v>
      </c>
      <c r="D5" s="4">
        <f>C5-B5</f>
        <v>640</v>
      </c>
      <c r="E5" s="9">
        <v>0.32</v>
      </c>
      <c r="F5" s="1" t="str">
        <f t="shared" si="0"/>
        <v>Medium</v>
      </c>
      <c r="G5">
        <v>13</v>
      </c>
      <c r="H5" s="7" t="s">
        <v>21</v>
      </c>
      <c r="I5" s="11">
        <f t="shared" si="1"/>
        <v>3.8</v>
      </c>
      <c r="J5" t="str" cm="1">
        <f t="array" ref="J5">IFERROR(_xlfn.IFS(I5="", "", I5&lt;3,"Poor", I5&lt;=4.4,"Average", I5&gt;=4.5,"Excellent"), "")</f>
        <v>Average</v>
      </c>
    </row>
    <row r="6" spans="1:10" x14ac:dyDescent="0.35">
      <c r="A6" t="s">
        <v>48</v>
      </c>
      <c r="B6" s="4">
        <v>980</v>
      </c>
      <c r="C6" s="4">
        <v>1490</v>
      </c>
      <c r="D6" s="4">
        <f>C6-B6</f>
        <v>510</v>
      </c>
      <c r="E6" s="9">
        <v>0.34</v>
      </c>
      <c r="F6" s="1" t="str">
        <f t="shared" si="0"/>
        <v>Medium</v>
      </c>
      <c r="G6">
        <v>12</v>
      </c>
      <c r="H6" s="7" t="s">
        <v>12</v>
      </c>
      <c r="I6" s="11">
        <f t="shared" si="1"/>
        <v>4.7</v>
      </c>
      <c r="J6" t="str" cm="1">
        <f t="array" ref="J6">IFERROR(_xlfn.IFS(I6="", "", I6&lt;3,"Poor", I6&lt;=4.4,"Average", I6&gt;=4.5,"Excellent"), "")</f>
        <v>Excellent</v>
      </c>
    </row>
    <row r="7" spans="1:10" x14ac:dyDescent="0.35">
      <c r="A7" t="s">
        <v>81</v>
      </c>
      <c r="B7" s="4">
        <v>445</v>
      </c>
      <c r="C7" s="4">
        <v>873</v>
      </c>
      <c r="D7" s="4">
        <f>C7-B7</f>
        <v>428</v>
      </c>
      <c r="E7" s="9">
        <v>0.49</v>
      </c>
      <c r="F7" s="1" t="str">
        <f t="shared" si="0"/>
        <v>High</v>
      </c>
      <c r="G7">
        <v>69</v>
      </c>
      <c r="H7" s="7" t="s">
        <v>82</v>
      </c>
      <c r="I7" s="11">
        <f t="shared" si="1"/>
        <v>2.8</v>
      </c>
      <c r="J7" t="str" cm="1">
        <f t="array" ref="J7">IFERROR(_xlfn.IFS(I7="", "", I7&lt;3,"Poor", I7&lt;=4.4,"Average", I7&gt;=4.5,"Excellent"), "")</f>
        <v>Poor</v>
      </c>
    </row>
    <row r="8" spans="1:10" x14ac:dyDescent="0.35">
      <c r="A8" t="s">
        <v>74</v>
      </c>
      <c r="B8" s="4">
        <v>2799</v>
      </c>
      <c r="C8" s="4">
        <v>3810</v>
      </c>
      <c r="D8" s="4">
        <f>C8-B8</f>
        <v>1011</v>
      </c>
      <c r="E8" s="9">
        <v>0.27</v>
      </c>
      <c r="F8" s="1" t="str">
        <f t="shared" si="0"/>
        <v>Medium</v>
      </c>
      <c r="H8" s="7" t="s">
        <v>140</v>
      </c>
      <c r="I8" s="11" t="str">
        <f t="shared" si="1"/>
        <v/>
      </c>
      <c r="J8" t="str" cm="1">
        <f t="array" ref="J8">IFERROR(_xlfn.IFS(I8="", "", I8&lt;3,"Poor", I8&lt;=4.4,"Average", I8&gt;=4.5,"Excellent"), "")</f>
        <v/>
      </c>
    </row>
    <row r="9" spans="1:10" x14ac:dyDescent="0.35">
      <c r="A9" t="s">
        <v>20</v>
      </c>
      <c r="B9" s="4">
        <v>1600</v>
      </c>
      <c r="C9" s="4">
        <v>2929</v>
      </c>
      <c r="D9" s="4">
        <f>C9-B9</f>
        <v>1329</v>
      </c>
      <c r="E9" s="9">
        <v>0.45</v>
      </c>
      <c r="F9" s="1" t="str">
        <f t="shared" si="0"/>
        <v>High</v>
      </c>
      <c r="G9">
        <v>5</v>
      </c>
      <c r="H9" s="7" t="s">
        <v>21</v>
      </c>
      <c r="I9" s="11">
        <f t="shared" si="1"/>
        <v>3.8</v>
      </c>
      <c r="J9" t="str" cm="1">
        <f t="array" ref="J9">IFERROR(_xlfn.IFS(I9="", "", I9&lt;3,"Poor", I9&lt;=4.4,"Average", I9&gt;=4.5,"Excellent"), "")</f>
        <v>Average</v>
      </c>
    </row>
    <row r="10" spans="1:10" x14ac:dyDescent="0.35">
      <c r="A10" t="s">
        <v>17</v>
      </c>
      <c r="B10" s="4">
        <v>2319</v>
      </c>
      <c r="C10" s="4">
        <v>3032</v>
      </c>
      <c r="D10" s="4">
        <f>C10-B10</f>
        <v>713</v>
      </c>
      <c r="E10" s="9">
        <v>0.24</v>
      </c>
      <c r="F10" s="1" t="str">
        <f t="shared" si="0"/>
        <v>Medium</v>
      </c>
      <c r="G10">
        <v>55</v>
      </c>
      <c r="H10" s="7" t="s">
        <v>10</v>
      </c>
      <c r="I10" s="11">
        <f t="shared" si="1"/>
        <v>4.5999999999999996</v>
      </c>
      <c r="J10" t="str" cm="1">
        <f t="array" ref="J10">IFERROR(_xlfn.IFS(I10="", "", I10&lt;3,"Poor", I10&lt;=4.4,"Average", I10&gt;=4.5,"Excellent"), "")</f>
        <v>Excellent</v>
      </c>
    </row>
    <row r="11" spans="1:10" x14ac:dyDescent="0.35">
      <c r="A11" t="s">
        <v>127</v>
      </c>
      <c r="B11" s="4">
        <v>198</v>
      </c>
      <c r="C11" s="4">
        <v>260</v>
      </c>
      <c r="D11" s="4">
        <f>C11-B11</f>
        <v>62</v>
      </c>
      <c r="E11" s="9">
        <v>0.24</v>
      </c>
      <c r="F11" s="1" t="str">
        <f t="shared" si="0"/>
        <v>Medium</v>
      </c>
      <c r="H11" s="7" t="s">
        <v>140</v>
      </c>
      <c r="I11" s="11" t="str">
        <f t="shared" si="1"/>
        <v/>
      </c>
      <c r="J11" t="str" cm="1">
        <f t="array" ref="J11">IFERROR(_xlfn.IFS(I11="", "", I11&lt;3,"Poor", I11&lt;=4.4,"Average", I11&gt;=4.5,"Excellent"), "")</f>
        <v/>
      </c>
    </row>
    <row r="12" spans="1:10" x14ac:dyDescent="0.35">
      <c r="A12" t="s">
        <v>106</v>
      </c>
      <c r="B12" s="4">
        <v>1666</v>
      </c>
      <c r="C12" s="4">
        <v>1699</v>
      </c>
      <c r="D12" s="4">
        <f>C12-B12</f>
        <v>33</v>
      </c>
      <c r="E12" s="9">
        <v>0.02</v>
      </c>
      <c r="F12" s="1" t="str">
        <f t="shared" si="0"/>
        <v>Low</v>
      </c>
      <c r="H12" s="7" t="s">
        <v>140</v>
      </c>
      <c r="I12" s="11" t="str">
        <f t="shared" si="1"/>
        <v/>
      </c>
      <c r="J12" t="str" cm="1">
        <f t="array" ref="J12">IFERROR(_xlfn.IFS(I12="", "", I12&lt;3,"Poor", I12&lt;=4.4,"Average", I12&gt;=4.5,"Excellent"), "")</f>
        <v/>
      </c>
    </row>
    <row r="13" spans="1:10" x14ac:dyDescent="0.35">
      <c r="A13" t="s">
        <v>15</v>
      </c>
      <c r="B13" s="4">
        <v>2999</v>
      </c>
      <c r="C13" s="4">
        <v>3290</v>
      </c>
      <c r="D13" s="4">
        <f>C13-B13</f>
        <v>291</v>
      </c>
      <c r="E13" s="9">
        <v>0.09</v>
      </c>
      <c r="F13" s="1" t="str">
        <f t="shared" si="0"/>
        <v>Low</v>
      </c>
      <c r="G13">
        <v>15</v>
      </c>
      <c r="H13" s="7" t="s">
        <v>16</v>
      </c>
      <c r="I13" s="11">
        <f t="shared" si="1"/>
        <v>4</v>
      </c>
      <c r="J13" t="str" cm="1">
        <f t="array" ref="J13">IFERROR(_xlfn.IFS(I13="", "", I13&lt;3,"Poor", I13&lt;=4.4,"Average", I13&gt;=4.5,"Excellent"), "")</f>
        <v>Average</v>
      </c>
    </row>
    <row r="14" spans="1:10" x14ac:dyDescent="0.35">
      <c r="A14" t="s">
        <v>126</v>
      </c>
      <c r="B14" s="4">
        <v>1875</v>
      </c>
      <c r="C14" s="4">
        <v>1899</v>
      </c>
      <c r="D14" s="4">
        <f>C14-B14</f>
        <v>24</v>
      </c>
      <c r="E14" s="9">
        <v>0.01</v>
      </c>
      <c r="F14" s="1" t="str">
        <f t="shared" si="0"/>
        <v>Low</v>
      </c>
      <c r="H14" s="7" t="s">
        <v>140</v>
      </c>
      <c r="I14" s="11" t="str">
        <f t="shared" si="1"/>
        <v/>
      </c>
      <c r="J14" t="str" cm="1">
        <f t="array" ref="J14">IFERROR(_xlfn.IFS(I14="", "", I14&lt;3,"Poor", I14&lt;=4.4,"Average", I14&gt;=4.5,"Excellent"), "")</f>
        <v/>
      </c>
    </row>
    <row r="15" spans="1:10" x14ac:dyDescent="0.35">
      <c r="A15" t="s">
        <v>117</v>
      </c>
      <c r="B15" s="4">
        <v>1200</v>
      </c>
      <c r="C15" s="4">
        <v>2400</v>
      </c>
      <c r="D15" s="4">
        <f>C15-B15</f>
        <v>1200</v>
      </c>
      <c r="E15" s="9">
        <v>0.5</v>
      </c>
      <c r="F15" s="1" t="str">
        <f t="shared" si="0"/>
        <v>High</v>
      </c>
      <c r="H15" s="7" t="s">
        <v>140</v>
      </c>
      <c r="I15" s="11" t="str">
        <f t="shared" si="1"/>
        <v/>
      </c>
      <c r="J15" t="str" cm="1">
        <f t="array" ref="J15">IFERROR(_xlfn.IFS(I15="", "", I15&lt;3,"Poor", I15&lt;=4.4,"Average", I15&gt;=4.5,"Excellent"), "")</f>
        <v/>
      </c>
    </row>
    <row r="16" spans="1:10" x14ac:dyDescent="0.35">
      <c r="A16" t="s">
        <v>64</v>
      </c>
      <c r="B16" s="4">
        <v>1200</v>
      </c>
      <c r="C16" s="4">
        <v>1950</v>
      </c>
      <c r="D16" s="4">
        <f>C16-B16</f>
        <v>750</v>
      </c>
      <c r="E16" s="9">
        <v>0.38</v>
      </c>
      <c r="F16" s="1" t="str">
        <f t="shared" si="0"/>
        <v>Medium</v>
      </c>
      <c r="H16" s="7" t="s">
        <v>140</v>
      </c>
      <c r="I16" s="11" t="str">
        <f t="shared" si="1"/>
        <v/>
      </c>
      <c r="J16" t="str" cm="1">
        <f t="array" ref="J16">IFERROR(_xlfn.IFS(I16="", "", I16&lt;3,"Poor", I16&lt;=4.4,"Average", I16&gt;=4.5,"Excellent"), "")</f>
        <v/>
      </c>
    </row>
    <row r="17" spans="1:10" x14ac:dyDescent="0.35">
      <c r="A17" t="s">
        <v>99</v>
      </c>
      <c r="B17" s="4">
        <v>790</v>
      </c>
      <c r="C17" s="4">
        <v>1485</v>
      </c>
      <c r="D17" s="4">
        <f>C17-B17</f>
        <v>695</v>
      </c>
      <c r="E17" s="9">
        <v>0.47</v>
      </c>
      <c r="F17" s="1" t="str">
        <f t="shared" si="0"/>
        <v>High</v>
      </c>
      <c r="H17" s="7" t="s">
        <v>140</v>
      </c>
      <c r="I17" s="11" t="str">
        <f t="shared" si="1"/>
        <v/>
      </c>
      <c r="J17" t="str" cm="1">
        <f t="array" ref="J17">IFERROR(_xlfn.IFS(I17="", "", I17&lt;3,"Poor", I17&lt;=4.4,"Average", I17&gt;=4.5,"Excellent"), "")</f>
        <v/>
      </c>
    </row>
    <row r="18" spans="1:10" x14ac:dyDescent="0.35">
      <c r="A18" t="s">
        <v>91</v>
      </c>
      <c r="B18" s="4">
        <v>3750</v>
      </c>
      <c r="C18" s="4">
        <v>6143</v>
      </c>
      <c r="D18" s="4">
        <f>C18-B18</f>
        <v>2393</v>
      </c>
      <c r="E18" s="9">
        <v>0.39</v>
      </c>
      <c r="F18" s="1" t="str">
        <f t="shared" si="0"/>
        <v>Medium</v>
      </c>
      <c r="G18">
        <v>5</v>
      </c>
      <c r="H18" s="7" t="s">
        <v>78</v>
      </c>
      <c r="I18" s="11">
        <f t="shared" si="1"/>
        <v>3</v>
      </c>
      <c r="J18" t="str" cm="1">
        <f t="array" ref="J18">IFERROR(_xlfn.IFS(I18="", "", I18&lt;3,"Poor", I18&lt;=4.4,"Average", I18&gt;=4.5,"Excellent"), "")</f>
        <v>Average</v>
      </c>
    </row>
    <row r="19" spans="1:10" x14ac:dyDescent="0.35">
      <c r="A19" t="s">
        <v>89</v>
      </c>
      <c r="B19" s="4">
        <v>1000</v>
      </c>
      <c r="C19" s="4">
        <v>2000</v>
      </c>
      <c r="D19" s="4">
        <f>C19-B19</f>
        <v>1000</v>
      </c>
      <c r="E19" s="9">
        <v>0.5</v>
      </c>
      <c r="F19" s="1" t="str">
        <f t="shared" si="0"/>
        <v>High</v>
      </c>
      <c r="G19">
        <v>7</v>
      </c>
      <c r="H19" s="7" t="s">
        <v>90</v>
      </c>
      <c r="I19" s="11">
        <f t="shared" si="1"/>
        <v>2.2999999999999998</v>
      </c>
      <c r="J19" t="str" cm="1">
        <f t="array" ref="J19">IFERROR(_xlfn.IFS(I19="", "", I19&lt;3,"Poor", I19&lt;=4.4,"Average", I19&gt;=4.5,"Excellent"), "")</f>
        <v>Poor</v>
      </c>
    </row>
    <row r="20" spans="1:10" x14ac:dyDescent="0.35">
      <c r="A20" t="s">
        <v>33</v>
      </c>
      <c r="B20" s="4">
        <v>998</v>
      </c>
      <c r="C20" s="4">
        <v>1966</v>
      </c>
      <c r="D20" s="4">
        <f>C20-B20</f>
        <v>968</v>
      </c>
      <c r="E20" s="9">
        <v>0.49</v>
      </c>
      <c r="F20" s="1" t="str">
        <f t="shared" si="0"/>
        <v>High</v>
      </c>
      <c r="G20">
        <v>44</v>
      </c>
      <c r="H20" s="7" t="s">
        <v>10</v>
      </c>
      <c r="I20" s="11">
        <f t="shared" si="1"/>
        <v>4.5999999999999996</v>
      </c>
      <c r="J20" t="str" cm="1">
        <f t="array" ref="J20">IFERROR(_xlfn.IFS(I20="", "", I20&lt;3,"Poor", I20&lt;=4.4,"Average", I20&gt;=4.5,"Excellent"), "")</f>
        <v>Excellent</v>
      </c>
    </row>
    <row r="21" spans="1:10" x14ac:dyDescent="0.35">
      <c r="A21" t="s">
        <v>100</v>
      </c>
      <c r="B21" s="4">
        <v>690</v>
      </c>
      <c r="C21" s="4">
        <v>1200</v>
      </c>
      <c r="D21" s="4">
        <f>C21-B21</f>
        <v>510</v>
      </c>
      <c r="E21" s="9">
        <v>0.43</v>
      </c>
      <c r="F21" s="1" t="str">
        <f t="shared" si="0"/>
        <v>High</v>
      </c>
      <c r="H21" s="7" t="s">
        <v>140</v>
      </c>
      <c r="I21" s="11" t="str">
        <f t="shared" si="1"/>
        <v/>
      </c>
      <c r="J21" t="str" cm="1">
        <f t="array" ref="J21">IFERROR(_xlfn.IFS(I21="", "", I21&lt;3,"Poor", I21&lt;=4.4,"Average", I21&gt;=4.5,"Excellent"), "")</f>
        <v/>
      </c>
    </row>
    <row r="22" spans="1:10" x14ac:dyDescent="0.35">
      <c r="A22" t="s">
        <v>34</v>
      </c>
      <c r="B22" s="4">
        <v>38</v>
      </c>
      <c r="C22" s="4">
        <v>80</v>
      </c>
      <c r="D22" s="4">
        <f>C22-B22</f>
        <v>42</v>
      </c>
      <c r="E22" s="9">
        <v>0.53</v>
      </c>
      <c r="F22" s="1" t="str">
        <f t="shared" si="0"/>
        <v>High</v>
      </c>
      <c r="G22">
        <v>13</v>
      </c>
      <c r="H22" s="7" t="s">
        <v>35</v>
      </c>
      <c r="I22" s="11">
        <f t="shared" si="1"/>
        <v>3.3</v>
      </c>
      <c r="J22" t="str" cm="1">
        <f t="array" ref="J22">IFERROR(_xlfn.IFS(I22="", "", I22&lt;3,"Poor", I22&lt;=4.4,"Average", I22&gt;=4.5,"Excellent"), "")</f>
        <v>Average</v>
      </c>
    </row>
    <row r="23" spans="1:10" x14ac:dyDescent="0.35">
      <c r="A23" t="s">
        <v>120</v>
      </c>
      <c r="B23" s="4">
        <v>248</v>
      </c>
      <c r="C23" s="4">
        <v>486</v>
      </c>
      <c r="D23" s="4">
        <f>C23-B23</f>
        <v>238</v>
      </c>
      <c r="E23" s="9">
        <v>0.49</v>
      </c>
      <c r="F23" s="1" t="str">
        <f t="shared" si="0"/>
        <v>High</v>
      </c>
      <c r="H23" s="7" t="s">
        <v>140</v>
      </c>
      <c r="I23" s="11" t="str">
        <f t="shared" si="1"/>
        <v/>
      </c>
      <c r="J23" t="str" cm="1">
        <f t="array" ref="J23">IFERROR(_xlfn.IFS(I23="", "", I23&lt;3,"Poor", I23&lt;=4.4,"Average", I23&gt;=4.5,"Excellent"), "")</f>
        <v/>
      </c>
    </row>
    <row r="24" spans="1:10" x14ac:dyDescent="0.35">
      <c r="A24" t="s">
        <v>24</v>
      </c>
      <c r="B24" s="4">
        <v>552</v>
      </c>
      <c r="C24" s="4">
        <v>1035</v>
      </c>
      <c r="D24" s="4">
        <f>C24-B24</f>
        <v>483</v>
      </c>
      <c r="E24" s="9">
        <v>0.47</v>
      </c>
      <c r="F24" s="1" t="str">
        <f t="shared" si="0"/>
        <v>High</v>
      </c>
      <c r="G24">
        <v>12</v>
      </c>
      <c r="H24" s="7" t="s">
        <v>14</v>
      </c>
      <c r="I24" s="11">
        <f t="shared" si="1"/>
        <v>4.8</v>
      </c>
      <c r="J24" t="str" cm="1">
        <f t="array" ref="J24">IFERROR(_xlfn.IFS(I24="", "", I24&lt;3,"Poor", I24&lt;=4.4,"Average", I24&gt;=4.5,"Excellent"), "")</f>
        <v>Excellent</v>
      </c>
    </row>
    <row r="25" spans="1:10" x14ac:dyDescent="0.35">
      <c r="A25" t="s">
        <v>57</v>
      </c>
      <c r="B25" s="4">
        <v>475</v>
      </c>
      <c r="C25" s="4">
        <v>931</v>
      </c>
      <c r="D25" s="4">
        <f>C25-B25</f>
        <v>456</v>
      </c>
      <c r="E25" s="9">
        <v>0.49</v>
      </c>
      <c r="F25" s="1" t="str">
        <f t="shared" si="0"/>
        <v>High</v>
      </c>
      <c r="H25" s="7" t="s">
        <v>140</v>
      </c>
      <c r="I25" s="11" t="str">
        <f t="shared" si="1"/>
        <v/>
      </c>
      <c r="J25" t="str" cm="1">
        <f t="array" ref="J25">IFERROR(_xlfn.IFS(I25="", "", I25&lt;3,"Poor", I25&lt;=4.4,"Average", I25&gt;=4.5,"Excellent"), "")</f>
        <v/>
      </c>
    </row>
    <row r="26" spans="1:10" x14ac:dyDescent="0.35">
      <c r="A26" t="s">
        <v>36</v>
      </c>
      <c r="B26" s="4">
        <v>1860</v>
      </c>
      <c r="C26" s="4">
        <v>3220</v>
      </c>
      <c r="D26" s="4">
        <f>C26-B26</f>
        <v>1360</v>
      </c>
      <c r="E26" s="9">
        <v>0.42</v>
      </c>
      <c r="F26" s="1" t="str">
        <f t="shared" si="0"/>
        <v>High</v>
      </c>
      <c r="H26" s="7" t="s">
        <v>140</v>
      </c>
      <c r="I26" s="11" t="str">
        <f t="shared" si="1"/>
        <v/>
      </c>
      <c r="J26" t="str" cm="1">
        <f t="array" ref="J26">IFERROR(_xlfn.IFS(I26="", "", I26&lt;3,"Poor", I26&lt;=4.4,"Average", I26&gt;=4.5,"Excellent"), "")</f>
        <v/>
      </c>
    </row>
    <row r="27" spans="1:10" x14ac:dyDescent="0.35">
      <c r="A27" t="s">
        <v>75</v>
      </c>
      <c r="B27" s="4">
        <v>2170</v>
      </c>
      <c r="C27" s="4">
        <v>2500</v>
      </c>
      <c r="D27" s="4">
        <f>C27-B27</f>
        <v>330</v>
      </c>
      <c r="E27" s="9">
        <v>0.13</v>
      </c>
      <c r="F27" s="1" t="str">
        <f t="shared" si="0"/>
        <v>Low</v>
      </c>
      <c r="G27">
        <v>6</v>
      </c>
      <c r="H27" s="7" t="s">
        <v>76</v>
      </c>
      <c r="I27" s="11">
        <f t="shared" si="1"/>
        <v>2.5</v>
      </c>
      <c r="J27" t="str" cm="1">
        <f t="array" ref="J27">IFERROR(_xlfn.IFS(I27="", "", I27&lt;3,"Poor", I27&lt;=4.4,"Average", I27&gt;=4.5,"Excellent"), "")</f>
        <v>Poor</v>
      </c>
    </row>
    <row r="28" spans="1:10" x14ac:dyDescent="0.35">
      <c r="A28" t="s">
        <v>45</v>
      </c>
      <c r="B28" s="4">
        <v>1758</v>
      </c>
      <c r="C28" s="4">
        <v>2499</v>
      </c>
      <c r="D28" s="4">
        <f>C28-B28</f>
        <v>741</v>
      </c>
      <c r="E28" s="9">
        <v>0.3</v>
      </c>
      <c r="F28" s="1" t="str">
        <f t="shared" si="0"/>
        <v>Medium</v>
      </c>
      <c r="G28">
        <v>20</v>
      </c>
      <c r="H28" s="7" t="s">
        <v>8</v>
      </c>
      <c r="I28" s="11">
        <f t="shared" si="1"/>
        <v>4.0999999999999996</v>
      </c>
      <c r="J28" t="str" cm="1">
        <f t="array" ref="J28">IFERROR(_xlfn.IFS(I28="", "", I28&lt;3,"Poor", I28&lt;=4.4,"Average", I28&gt;=4.5,"Excellent"), "")</f>
        <v>Average</v>
      </c>
    </row>
    <row r="29" spans="1:10" x14ac:dyDescent="0.35">
      <c r="A29" t="s">
        <v>51</v>
      </c>
      <c r="B29" s="4">
        <v>1980</v>
      </c>
      <c r="C29" s="4">
        <v>2699</v>
      </c>
      <c r="D29" s="4">
        <f>C29-B29</f>
        <v>719</v>
      </c>
      <c r="E29" s="9">
        <v>0.27</v>
      </c>
      <c r="F29" s="1" t="str">
        <f t="shared" si="0"/>
        <v>Medium</v>
      </c>
      <c r="G29">
        <v>32</v>
      </c>
      <c r="H29" s="7" t="s">
        <v>6</v>
      </c>
      <c r="I29" s="11">
        <f t="shared" si="1"/>
        <v>4.5</v>
      </c>
      <c r="J29" t="str" cm="1">
        <f t="array" ref="J29">IFERROR(_xlfn.IFS(I29="", "", I29&lt;3,"Poor", I29&lt;=4.4,"Average", I29&gt;=4.5,"Excellent"), "")</f>
        <v>Excellent</v>
      </c>
    </row>
    <row r="30" spans="1:10" x14ac:dyDescent="0.35">
      <c r="A30" t="s">
        <v>50</v>
      </c>
      <c r="B30" s="4">
        <v>1940</v>
      </c>
      <c r="C30" s="4">
        <v>2650</v>
      </c>
      <c r="D30" s="4">
        <f>C30-B30</f>
        <v>710</v>
      </c>
      <c r="E30" s="9">
        <v>0.27</v>
      </c>
      <c r="F30" s="1" t="str">
        <f t="shared" si="0"/>
        <v>Medium</v>
      </c>
      <c r="G30">
        <v>20</v>
      </c>
      <c r="H30" s="7" t="s">
        <v>12</v>
      </c>
      <c r="I30" s="11">
        <f t="shared" si="1"/>
        <v>4.7</v>
      </c>
      <c r="J30" t="str" cm="1">
        <f t="array" ref="J30">IFERROR(_xlfn.IFS(I30="", "", I30&lt;3,"Poor", I30&lt;=4.4,"Average", I30&gt;=4.5,"Excellent"), "")</f>
        <v>Excellent</v>
      </c>
    </row>
    <row r="31" spans="1:10" x14ac:dyDescent="0.35">
      <c r="A31" t="s">
        <v>105</v>
      </c>
      <c r="B31" s="4">
        <v>1460</v>
      </c>
      <c r="C31" s="4">
        <v>2290</v>
      </c>
      <c r="D31" s="4">
        <f>C31-B31</f>
        <v>830</v>
      </c>
      <c r="E31" s="9">
        <v>0.36</v>
      </c>
      <c r="F31" s="1" t="str">
        <f t="shared" si="0"/>
        <v>Medium</v>
      </c>
      <c r="H31" s="7" t="s">
        <v>140</v>
      </c>
      <c r="I31" s="11" t="str">
        <f t="shared" si="1"/>
        <v/>
      </c>
      <c r="J31" t="str" cm="1">
        <f t="array" ref="J31">IFERROR(_xlfn.IFS(I31="", "", I31&lt;3,"Poor", I31&lt;=4.4,"Average", I31&gt;=4.5,"Excellent"), "")</f>
        <v/>
      </c>
    </row>
    <row r="32" spans="1:10" x14ac:dyDescent="0.35">
      <c r="A32" t="s">
        <v>79</v>
      </c>
      <c r="B32" s="4">
        <v>2115</v>
      </c>
      <c r="C32" s="4">
        <v>4700</v>
      </c>
      <c r="D32" s="4">
        <f>C32-B32</f>
        <v>2585</v>
      </c>
      <c r="E32" s="9">
        <v>0.55000000000000004</v>
      </c>
      <c r="F32" s="1" t="str">
        <f t="shared" si="0"/>
        <v>High</v>
      </c>
      <c r="G32">
        <v>13</v>
      </c>
      <c r="H32" s="7" t="s">
        <v>80</v>
      </c>
      <c r="I32" s="11">
        <f t="shared" si="1"/>
        <v>2.1</v>
      </c>
      <c r="J32" t="str" cm="1">
        <f t="array" ref="J32">IFERROR(_xlfn.IFS(I32="", "", I32&lt;3,"Poor", I32&lt;=4.4,"Average", I32&gt;=4.5,"Excellent"), "")</f>
        <v>Poor</v>
      </c>
    </row>
    <row r="33" spans="1:10" x14ac:dyDescent="0.35">
      <c r="A33" t="s">
        <v>132</v>
      </c>
      <c r="B33" s="4">
        <v>199</v>
      </c>
      <c r="C33" s="4">
        <v>553</v>
      </c>
      <c r="D33" s="4">
        <f>C33-B33</f>
        <v>354</v>
      </c>
      <c r="E33" s="9">
        <v>0.64</v>
      </c>
      <c r="F33" s="1" t="str">
        <f t="shared" si="0"/>
        <v>High</v>
      </c>
      <c r="H33" s="7" t="s">
        <v>140</v>
      </c>
      <c r="I33" s="11" t="str">
        <f t="shared" si="1"/>
        <v/>
      </c>
      <c r="J33" t="str" cm="1">
        <f t="array" ref="J33">IFERROR(_xlfn.IFS(I33="", "", I33&lt;3,"Poor", I33&lt;=4.4,"Average", I33&gt;=4.5,"Excellent"), "")</f>
        <v/>
      </c>
    </row>
    <row r="34" spans="1:10" x14ac:dyDescent="0.35">
      <c r="A34" t="s">
        <v>116</v>
      </c>
      <c r="B34" s="4">
        <v>899</v>
      </c>
      <c r="C34" s="4">
        <v>1699</v>
      </c>
      <c r="D34" s="4">
        <f>C34-B34</f>
        <v>800</v>
      </c>
      <c r="E34" s="9">
        <v>0.47</v>
      </c>
      <c r="F34" s="1" t="str">
        <f t="shared" si="0"/>
        <v>High</v>
      </c>
      <c r="H34" s="7" t="s">
        <v>140</v>
      </c>
      <c r="I34" s="11" t="str">
        <f t="shared" si="1"/>
        <v/>
      </c>
      <c r="J34" t="str" cm="1">
        <f t="array" ref="J34">IFERROR(_xlfn.IFS(I34="", "", I34&lt;3,"Poor", I34&lt;=4.4,"Average", I34&gt;=4.5,"Excellent"), "")</f>
        <v/>
      </c>
    </row>
    <row r="35" spans="1:10" x14ac:dyDescent="0.35">
      <c r="A35" t="s">
        <v>62</v>
      </c>
      <c r="B35" s="4">
        <v>1190</v>
      </c>
      <c r="C35" s="4">
        <v>1785</v>
      </c>
      <c r="D35" s="4">
        <f>C35-B35</f>
        <v>595</v>
      </c>
      <c r="E35" s="9">
        <v>0.33</v>
      </c>
      <c r="F35" s="1" t="str">
        <f t="shared" si="0"/>
        <v>Medium</v>
      </c>
      <c r="H35" s="7" t="s">
        <v>140</v>
      </c>
      <c r="I35" s="11" t="str">
        <f t="shared" si="1"/>
        <v/>
      </c>
      <c r="J35" t="str" cm="1">
        <f t="array" ref="J35">IFERROR(_xlfn.IFS(I35="", "", I35&lt;3,"Poor", I35&lt;=4.4,"Average", I35&gt;=4.5,"Excellent"), "")</f>
        <v/>
      </c>
    </row>
    <row r="36" spans="1:10" x14ac:dyDescent="0.35">
      <c r="A36" t="s">
        <v>102</v>
      </c>
      <c r="B36" s="4">
        <v>230</v>
      </c>
      <c r="C36" s="4">
        <v>450</v>
      </c>
      <c r="D36" s="4">
        <f>C36-B36</f>
        <v>220</v>
      </c>
      <c r="E36" s="9">
        <v>0.49</v>
      </c>
      <c r="F36" s="1" t="str">
        <f t="shared" si="0"/>
        <v>High</v>
      </c>
      <c r="H36" s="7" t="s">
        <v>140</v>
      </c>
      <c r="I36" s="11" t="str">
        <f t="shared" si="1"/>
        <v/>
      </c>
      <c r="J36" t="str" cm="1">
        <f t="array" ref="J36">IFERROR(_xlfn.IFS(I36="", "", I36&lt;3,"Poor", I36&lt;=4.4,"Average", I36&gt;=4.5,"Excellent"), "")</f>
        <v/>
      </c>
    </row>
    <row r="37" spans="1:10" x14ac:dyDescent="0.35">
      <c r="A37" t="s">
        <v>97</v>
      </c>
      <c r="B37" s="4">
        <v>968</v>
      </c>
      <c r="C37" s="4">
        <v>1814</v>
      </c>
      <c r="D37" s="4">
        <f>C37-B37</f>
        <v>846</v>
      </c>
      <c r="E37" s="9">
        <v>0.47</v>
      </c>
      <c r="F37" s="1" t="str">
        <f t="shared" si="0"/>
        <v>High</v>
      </c>
      <c r="G37">
        <v>6</v>
      </c>
      <c r="H37" s="7" t="s">
        <v>88</v>
      </c>
      <c r="I37" s="11">
        <f t="shared" si="1"/>
        <v>2.2000000000000002</v>
      </c>
      <c r="J37" t="str" cm="1">
        <f t="array" ref="J37">IFERROR(_xlfn.IFS(I37="", "", I37&lt;3,"Poor", I37&lt;=4.4,"Average", I37&gt;=4.5,"Excellent"), "")</f>
        <v>Poor</v>
      </c>
    </row>
    <row r="38" spans="1:10" x14ac:dyDescent="0.35">
      <c r="A38" t="s">
        <v>123</v>
      </c>
      <c r="B38" s="4">
        <v>1080</v>
      </c>
      <c r="C38" s="4">
        <v>1874</v>
      </c>
      <c r="D38" s="4">
        <f>C38-B38</f>
        <v>794</v>
      </c>
      <c r="E38" s="9">
        <v>0.42</v>
      </c>
      <c r="F38" s="1" t="str">
        <f t="shared" si="0"/>
        <v>High</v>
      </c>
      <c r="H38" s="7" t="s">
        <v>140</v>
      </c>
      <c r="I38" s="11" t="str">
        <f t="shared" si="1"/>
        <v/>
      </c>
      <c r="J38" t="str" cm="1">
        <f t="array" ref="J38">IFERROR(_xlfn.IFS(I38="", "", I38&lt;3,"Poor", I38&lt;=4.4,"Average", I38&gt;=4.5,"Excellent"), "")</f>
        <v/>
      </c>
    </row>
    <row r="39" spans="1:10" x14ac:dyDescent="0.35">
      <c r="A39" t="s">
        <v>125</v>
      </c>
      <c r="B39" s="4">
        <v>1420</v>
      </c>
      <c r="C39" s="4">
        <v>2420</v>
      </c>
      <c r="D39" s="4">
        <f>C39-B39</f>
        <v>1000</v>
      </c>
      <c r="E39" s="9">
        <v>0.41</v>
      </c>
      <c r="F39" s="1" t="str">
        <f t="shared" si="0"/>
        <v>High</v>
      </c>
      <c r="H39" s="7" t="s">
        <v>140</v>
      </c>
      <c r="I39" s="11" t="str">
        <f t="shared" si="1"/>
        <v/>
      </c>
      <c r="J39" t="str" cm="1">
        <f t="array" ref="J39">IFERROR(_xlfn.IFS(I39="", "", I39&lt;3,"Poor", I39&lt;=4.4,"Average", I39&gt;=4.5,"Excellent"), "")</f>
        <v/>
      </c>
    </row>
    <row r="40" spans="1:10" x14ac:dyDescent="0.35">
      <c r="A40" t="s">
        <v>92</v>
      </c>
      <c r="B40" s="4">
        <v>382</v>
      </c>
      <c r="C40" s="4">
        <v>700</v>
      </c>
      <c r="D40" s="4">
        <f>C40-B40</f>
        <v>318</v>
      </c>
      <c r="E40" s="9">
        <v>0.45</v>
      </c>
      <c r="F40" s="1" t="str">
        <f t="shared" si="0"/>
        <v>High</v>
      </c>
      <c r="G40">
        <v>17</v>
      </c>
      <c r="H40" s="7" t="s">
        <v>93</v>
      </c>
      <c r="I40" s="11">
        <f t="shared" si="1"/>
        <v>2.6</v>
      </c>
      <c r="J40" t="str" cm="1">
        <f t="array" ref="J40">IFERROR(_xlfn.IFS(I40="", "", I40&lt;3,"Poor", I40&lt;=4.4,"Average", I40&gt;=4.5,"Excellent"), "")</f>
        <v>Poor</v>
      </c>
    </row>
    <row r="41" spans="1:10" x14ac:dyDescent="0.35">
      <c r="A41" t="s">
        <v>73</v>
      </c>
      <c r="B41" s="4">
        <v>799</v>
      </c>
      <c r="C41" s="4">
        <v>1567</v>
      </c>
      <c r="D41" s="4">
        <f>C41-B41</f>
        <v>768</v>
      </c>
      <c r="E41" s="9">
        <v>0.49</v>
      </c>
      <c r="F41" s="1" t="str">
        <f t="shared" si="0"/>
        <v>High</v>
      </c>
      <c r="H41" s="7" t="s">
        <v>140</v>
      </c>
      <c r="I41" s="11" t="str">
        <f t="shared" si="1"/>
        <v/>
      </c>
      <c r="J41" t="str" cm="1">
        <f t="array" ref="J41">IFERROR(_xlfn.IFS(I41="", "", I41&lt;3,"Poor", I41&lt;=4.4,"Average", I41&gt;=4.5,"Excellent"), "")</f>
        <v/>
      </c>
    </row>
    <row r="42" spans="1:10" x14ac:dyDescent="0.35">
      <c r="A42" t="s">
        <v>73</v>
      </c>
      <c r="B42" s="4">
        <v>657</v>
      </c>
      <c r="C42" s="4">
        <v>1288</v>
      </c>
      <c r="D42" s="4">
        <f>C42-B42</f>
        <v>631</v>
      </c>
      <c r="E42" s="9">
        <v>0.49</v>
      </c>
      <c r="F42" s="1" t="str">
        <f t="shared" si="0"/>
        <v>High</v>
      </c>
      <c r="H42" s="7" t="s">
        <v>140</v>
      </c>
      <c r="I42" s="11" t="str">
        <f t="shared" si="1"/>
        <v/>
      </c>
      <c r="J42" t="str" cm="1">
        <f t="array" ref="J42">IFERROR(_xlfn.IFS(I42="", "", I42&lt;3,"Poor", I42&lt;=4.4,"Average", I42&gt;=4.5,"Excellent"), "")</f>
        <v/>
      </c>
    </row>
    <row r="43" spans="1:10" x14ac:dyDescent="0.35">
      <c r="A43" t="s">
        <v>28</v>
      </c>
      <c r="B43" s="4">
        <v>332</v>
      </c>
      <c r="C43" s="4">
        <v>684</v>
      </c>
      <c r="D43" s="4">
        <f>C43-B43</f>
        <v>352</v>
      </c>
      <c r="E43" s="9">
        <v>0.51</v>
      </c>
      <c r="F43" s="1" t="str">
        <f t="shared" si="0"/>
        <v>High</v>
      </c>
      <c r="G43">
        <v>2</v>
      </c>
      <c r="H43" s="7" t="s">
        <v>29</v>
      </c>
      <c r="I43" s="11">
        <f t="shared" si="1"/>
        <v>5</v>
      </c>
      <c r="J43" t="str" cm="1">
        <f t="array" ref="J43">IFERROR(_xlfn.IFS(I43="", "", I43&lt;3,"Poor", I43&lt;=4.4,"Average", I43&gt;=4.5,"Excellent"), "")</f>
        <v>Excellent</v>
      </c>
    </row>
    <row r="44" spans="1:10" x14ac:dyDescent="0.35">
      <c r="A44" t="s">
        <v>87</v>
      </c>
      <c r="B44" s="4">
        <v>990</v>
      </c>
      <c r="C44" s="4">
        <v>1814</v>
      </c>
      <c r="D44" s="4">
        <f>C44-B44</f>
        <v>824</v>
      </c>
      <c r="E44" s="9">
        <v>0.45</v>
      </c>
      <c r="F44" s="1" t="str">
        <f t="shared" si="0"/>
        <v>High</v>
      </c>
      <c r="G44">
        <v>6</v>
      </c>
      <c r="H44" s="7" t="s">
        <v>88</v>
      </c>
      <c r="I44" s="11">
        <f t="shared" si="1"/>
        <v>2.2000000000000002</v>
      </c>
      <c r="J44" t="str" cm="1">
        <f t="array" ref="J44">IFERROR(_xlfn.IFS(I44="", "", I44&lt;3,"Poor", I44&lt;=4.4,"Average", I44&gt;=4.5,"Excellent"), "")</f>
        <v>Poor</v>
      </c>
    </row>
    <row r="45" spans="1:10" x14ac:dyDescent="0.35">
      <c r="A45" t="s">
        <v>122</v>
      </c>
      <c r="B45" s="4">
        <v>525</v>
      </c>
      <c r="C45" s="4">
        <v>1029</v>
      </c>
      <c r="D45" s="4">
        <f>C45-B45</f>
        <v>504</v>
      </c>
      <c r="E45" s="9">
        <v>0.49</v>
      </c>
      <c r="F45" s="1" t="str">
        <f t="shared" si="0"/>
        <v>High</v>
      </c>
      <c r="H45" s="7" t="s">
        <v>140</v>
      </c>
      <c r="I45" s="11" t="str">
        <f t="shared" si="1"/>
        <v/>
      </c>
      <c r="J45" t="str" cm="1">
        <f t="array" ref="J45">IFERROR(_xlfn.IFS(I45="", "", I45&lt;3,"Poor", I45&lt;=4.4,"Average", I45&gt;=4.5,"Excellent"), "")</f>
        <v/>
      </c>
    </row>
    <row r="46" spans="1:10" x14ac:dyDescent="0.35">
      <c r="A46" t="s">
        <v>59</v>
      </c>
      <c r="B46" s="4">
        <v>610</v>
      </c>
      <c r="C46" s="4">
        <v>1060</v>
      </c>
      <c r="D46" s="4">
        <f>C46-B46</f>
        <v>450</v>
      </c>
      <c r="E46" s="9">
        <v>0.42</v>
      </c>
      <c r="F46" s="1" t="str">
        <f t="shared" si="0"/>
        <v>High</v>
      </c>
      <c r="H46" s="7" t="s">
        <v>140</v>
      </c>
      <c r="I46" s="11" t="str">
        <f t="shared" si="1"/>
        <v/>
      </c>
      <c r="J46" t="str" cm="1">
        <f t="array" ref="J46">IFERROR(_xlfn.IFS(I46="", "", I46&lt;3,"Poor", I46&lt;=4.4,"Average", I46&gt;=4.5,"Excellent"), "")</f>
        <v/>
      </c>
    </row>
    <row r="47" spans="1:10" x14ac:dyDescent="0.35">
      <c r="A47" t="s">
        <v>104</v>
      </c>
      <c r="B47" s="4">
        <v>979</v>
      </c>
      <c r="C47" s="4">
        <v>1920</v>
      </c>
      <c r="D47" s="4">
        <f>C47-B47</f>
        <v>941</v>
      </c>
      <c r="E47" s="9">
        <v>0.49</v>
      </c>
      <c r="F47" s="1" t="str">
        <f t="shared" si="0"/>
        <v>High</v>
      </c>
      <c r="G47">
        <v>1</v>
      </c>
      <c r="H47" s="7" t="s">
        <v>29</v>
      </c>
      <c r="I47" s="11">
        <f t="shared" si="1"/>
        <v>5</v>
      </c>
      <c r="J47" t="str" cm="1">
        <f t="array" ref="J47">IFERROR(_xlfn.IFS(I47="", "", I47&lt;3,"Poor", I47&lt;=4.4,"Average", I47&gt;=4.5,"Excellent"), "")</f>
        <v>Excellent</v>
      </c>
    </row>
    <row r="48" spans="1:10" x14ac:dyDescent="0.35">
      <c r="A48" t="s">
        <v>135</v>
      </c>
      <c r="B48" s="4">
        <v>169</v>
      </c>
      <c r="C48" s="4">
        <v>320</v>
      </c>
      <c r="D48" s="4">
        <f>C48-B48</f>
        <v>151</v>
      </c>
      <c r="E48" s="9">
        <v>0.47</v>
      </c>
      <c r="F48" s="1" t="str">
        <f t="shared" si="0"/>
        <v>High</v>
      </c>
      <c r="H48" s="7" t="s">
        <v>140</v>
      </c>
      <c r="I48" s="11" t="str">
        <f t="shared" si="1"/>
        <v/>
      </c>
      <c r="J48" t="str" cm="1">
        <f t="array" ref="J48">IFERROR(_xlfn.IFS(I48="", "", I48&lt;3,"Poor", I48&lt;=4.4,"Average", I48&gt;=4.5,"Excellent"), "")</f>
        <v/>
      </c>
    </row>
    <row r="49" spans="1:10" x14ac:dyDescent="0.35">
      <c r="A49" t="s">
        <v>66</v>
      </c>
      <c r="B49" s="4">
        <v>299</v>
      </c>
      <c r="C49" s="4">
        <v>600</v>
      </c>
      <c r="D49" s="4">
        <f>C49-B49</f>
        <v>301</v>
      </c>
      <c r="E49" s="9">
        <v>0.5</v>
      </c>
      <c r="F49" s="1" t="str">
        <f t="shared" si="0"/>
        <v>High</v>
      </c>
      <c r="H49" s="7" t="s">
        <v>140</v>
      </c>
      <c r="I49" s="11" t="str">
        <f t="shared" si="1"/>
        <v/>
      </c>
      <c r="J49" t="str" cm="1">
        <f t="array" ref="J49">IFERROR(_xlfn.IFS(I49="", "", I49&lt;3,"Poor", I49&lt;=4.4,"Average", I49&gt;=4.5,"Excellent"), "")</f>
        <v/>
      </c>
    </row>
    <row r="50" spans="1:10" x14ac:dyDescent="0.35">
      <c r="A50" t="s">
        <v>63</v>
      </c>
      <c r="B50" s="4">
        <v>671</v>
      </c>
      <c r="C50" s="4">
        <v>1316</v>
      </c>
      <c r="D50" s="4">
        <f>C50-B50</f>
        <v>645</v>
      </c>
      <c r="E50" s="9">
        <v>0.49</v>
      </c>
      <c r="F50" s="1" t="str">
        <f t="shared" si="0"/>
        <v>High</v>
      </c>
      <c r="H50" s="7" t="s">
        <v>140</v>
      </c>
      <c r="I50" s="11" t="str">
        <f t="shared" si="1"/>
        <v/>
      </c>
      <c r="J50" t="str" cm="1">
        <f t="array" ref="J50">IFERROR(_xlfn.IFS(I50="", "", I50&lt;3,"Poor", I50&lt;=4.4,"Average", I50&gt;=4.5,"Excellent"), "")</f>
        <v/>
      </c>
    </row>
    <row r="51" spans="1:10" x14ac:dyDescent="0.35">
      <c r="A51" t="s">
        <v>109</v>
      </c>
      <c r="B51" s="4">
        <v>274</v>
      </c>
      <c r="C51" s="4">
        <v>537</v>
      </c>
      <c r="D51" s="4">
        <f>C51-B51</f>
        <v>263</v>
      </c>
      <c r="E51" s="9">
        <v>0.49</v>
      </c>
      <c r="F51" s="1" t="str">
        <f t="shared" si="0"/>
        <v>High</v>
      </c>
      <c r="H51" s="7" t="s">
        <v>140</v>
      </c>
      <c r="I51" s="11" t="str">
        <f t="shared" si="1"/>
        <v/>
      </c>
      <c r="J51" t="str" cm="1">
        <f t="array" ref="J51">IFERROR(_xlfn.IFS(I51="", "", I51&lt;3,"Poor", I51&lt;=4.4,"Average", I51&gt;=4.5,"Excellent"), "")</f>
        <v/>
      </c>
    </row>
    <row r="52" spans="1:10" x14ac:dyDescent="0.35">
      <c r="A52" t="s">
        <v>129</v>
      </c>
      <c r="B52" s="4">
        <v>1190</v>
      </c>
      <c r="C52" s="4">
        <v>1810</v>
      </c>
      <c r="D52" s="4">
        <f>C52-B52</f>
        <v>620</v>
      </c>
      <c r="E52" s="9">
        <v>0.34</v>
      </c>
      <c r="F52" s="1" t="str">
        <f t="shared" si="0"/>
        <v>Medium</v>
      </c>
      <c r="H52" s="7" t="s">
        <v>140</v>
      </c>
      <c r="I52" s="11" t="str">
        <f t="shared" si="1"/>
        <v/>
      </c>
      <c r="J52" t="str" cm="1">
        <f t="array" ref="J52">IFERROR(_xlfn.IFS(I52="", "", I52&lt;3,"Poor", I52&lt;=4.4,"Average", I52&gt;=4.5,"Excellent"), "")</f>
        <v/>
      </c>
    </row>
    <row r="53" spans="1:10" x14ac:dyDescent="0.35">
      <c r="A53" t="s">
        <v>61</v>
      </c>
      <c r="B53" s="4">
        <v>999</v>
      </c>
      <c r="C53" s="4">
        <v>2000</v>
      </c>
      <c r="D53" s="4">
        <f>C53-B53</f>
        <v>1001</v>
      </c>
      <c r="E53" s="9">
        <v>0.5</v>
      </c>
      <c r="F53" s="1" t="str">
        <f t="shared" si="0"/>
        <v>High</v>
      </c>
      <c r="H53" s="7" t="s">
        <v>140</v>
      </c>
      <c r="I53" s="11" t="str">
        <f t="shared" si="1"/>
        <v/>
      </c>
      <c r="J53" t="str" cm="1">
        <f t="array" ref="J53">IFERROR(_xlfn.IFS(I53="", "", I53&lt;3,"Poor", I53&lt;=4.4,"Average", I53&gt;=4.5,"Excellent"), "")</f>
        <v/>
      </c>
    </row>
    <row r="54" spans="1:10" x14ac:dyDescent="0.35">
      <c r="A54" t="s">
        <v>72</v>
      </c>
      <c r="B54" s="4">
        <v>699</v>
      </c>
      <c r="C54" s="4">
        <v>1343</v>
      </c>
      <c r="D54" s="4">
        <f>C54-B54</f>
        <v>644</v>
      </c>
      <c r="E54" s="9">
        <v>0.48</v>
      </c>
      <c r="F54" s="1" t="str">
        <f t="shared" si="0"/>
        <v>High</v>
      </c>
      <c r="H54" s="7" t="s">
        <v>140</v>
      </c>
      <c r="I54" s="11" t="str">
        <f t="shared" si="1"/>
        <v/>
      </c>
      <c r="J54" t="str" cm="1">
        <f t="array" ref="J54">IFERROR(_xlfn.IFS(I54="", "", I54&lt;3,"Poor", I54&lt;=4.4,"Average", I54&gt;=4.5,"Excellent"), "")</f>
        <v/>
      </c>
    </row>
    <row r="55" spans="1:10" x14ac:dyDescent="0.35">
      <c r="A55" t="s">
        <v>53</v>
      </c>
      <c r="B55" s="4">
        <v>171</v>
      </c>
      <c r="C55" s="4">
        <v>360</v>
      </c>
      <c r="D55" s="4">
        <f>C55-B55</f>
        <v>189</v>
      </c>
      <c r="E55" s="9">
        <v>0.53</v>
      </c>
      <c r="F55" s="1" t="str">
        <f t="shared" si="0"/>
        <v>High</v>
      </c>
      <c r="G55">
        <v>2</v>
      </c>
      <c r="H55" s="7" t="s">
        <v>29</v>
      </c>
      <c r="I55" s="11">
        <f t="shared" si="1"/>
        <v>5</v>
      </c>
      <c r="J55" t="str" cm="1">
        <f t="array" ref="J55">IFERROR(_xlfn.IFS(I55="", "", I55&lt;3,"Poor", I55&lt;=4.4,"Average", I55&gt;=4.5,"Excellent"), "")</f>
        <v>Excellent</v>
      </c>
    </row>
    <row r="56" spans="1:10" x14ac:dyDescent="0.35">
      <c r="A56" t="s">
        <v>65</v>
      </c>
      <c r="B56" s="4">
        <v>199</v>
      </c>
      <c r="C56" s="4">
        <v>504</v>
      </c>
      <c r="D56" s="4">
        <f>C56-B56</f>
        <v>305</v>
      </c>
      <c r="E56" s="9">
        <v>0.61</v>
      </c>
      <c r="F56" s="1" t="str">
        <f t="shared" si="0"/>
        <v>High</v>
      </c>
      <c r="H56" s="7" t="s">
        <v>140</v>
      </c>
      <c r="I56" s="11" t="str">
        <f t="shared" si="1"/>
        <v/>
      </c>
      <c r="J56" t="str" cm="1">
        <f t="array" ref="J56">IFERROR(_xlfn.IFS(I56="", "", I56&lt;3,"Poor", I56&lt;=4.4,"Average", I56&gt;=4.5,"Excellent"), "")</f>
        <v/>
      </c>
    </row>
    <row r="57" spans="1:10" x14ac:dyDescent="0.35">
      <c r="A57" t="s">
        <v>65</v>
      </c>
      <c r="B57" s="4">
        <v>176</v>
      </c>
      <c r="C57" s="4">
        <v>345</v>
      </c>
      <c r="D57" s="4">
        <f>C57-B57</f>
        <v>169</v>
      </c>
      <c r="E57" s="9">
        <v>0.49</v>
      </c>
      <c r="F57" s="1" t="str">
        <f t="shared" si="0"/>
        <v>High</v>
      </c>
      <c r="H57" s="7" t="s">
        <v>140</v>
      </c>
      <c r="I57" s="11" t="str">
        <f t="shared" si="1"/>
        <v/>
      </c>
      <c r="J57" t="str" cm="1">
        <f t="array" ref="J57">IFERROR(_xlfn.IFS(I57="", "", I57&lt;3,"Poor", I57&lt;=4.4,"Average", I57&gt;=4.5,"Excellent"), "")</f>
        <v/>
      </c>
    </row>
    <row r="58" spans="1:10" x14ac:dyDescent="0.35">
      <c r="A58" t="s">
        <v>101</v>
      </c>
      <c r="B58" s="4">
        <v>1732</v>
      </c>
      <c r="C58" s="4">
        <v>1799</v>
      </c>
      <c r="D58" s="4">
        <f>C58-B58</f>
        <v>67</v>
      </c>
      <c r="E58" s="9">
        <v>0.04</v>
      </c>
      <c r="F58" s="1" t="str">
        <f t="shared" si="0"/>
        <v>Low</v>
      </c>
      <c r="H58" s="7" t="s">
        <v>140</v>
      </c>
      <c r="I58" s="11" t="str">
        <f t="shared" si="1"/>
        <v/>
      </c>
      <c r="J58" t="str" cm="1">
        <f t="array" ref="J58">IFERROR(_xlfn.IFS(I58="", "", I58&lt;3,"Poor", I58&lt;=4.4,"Average", I58&gt;=4.5,"Excellent"), "")</f>
        <v/>
      </c>
    </row>
    <row r="59" spans="1:10" x14ac:dyDescent="0.35">
      <c r="A59" t="s">
        <v>70</v>
      </c>
      <c r="B59" s="4">
        <v>799</v>
      </c>
      <c r="C59" s="4">
        <v>1343</v>
      </c>
      <c r="D59" s="4">
        <f>C59-B59</f>
        <v>544</v>
      </c>
      <c r="E59" s="9">
        <v>0.41</v>
      </c>
      <c r="F59" s="1" t="str">
        <f t="shared" si="0"/>
        <v>High</v>
      </c>
      <c r="H59" s="7" t="s">
        <v>140</v>
      </c>
      <c r="I59" s="11" t="str">
        <f t="shared" si="1"/>
        <v/>
      </c>
      <c r="J59" t="str" cm="1">
        <f t="array" ref="J59">IFERROR(_xlfn.IFS(I59="", "", I59&lt;3,"Poor", I59&lt;=4.4,"Average", I59&gt;=4.5,"Excellent"), "")</f>
        <v/>
      </c>
    </row>
    <row r="60" spans="1:10" x14ac:dyDescent="0.35">
      <c r="A60" t="s">
        <v>18</v>
      </c>
      <c r="B60" s="4">
        <v>988</v>
      </c>
      <c r="C60" s="4">
        <v>1580</v>
      </c>
      <c r="D60" s="4">
        <f>C60-B60</f>
        <v>592</v>
      </c>
      <c r="E60" s="9">
        <v>0.37</v>
      </c>
      <c r="F60" s="1" t="str">
        <f t="shared" si="0"/>
        <v>Medium</v>
      </c>
      <c r="G60">
        <v>2</v>
      </c>
      <c r="H60" s="7" t="s">
        <v>16</v>
      </c>
      <c r="I60" s="11">
        <f t="shared" si="1"/>
        <v>4</v>
      </c>
      <c r="J60" t="str" cm="1">
        <f t="array" ref="J60">IFERROR(_xlfn.IFS(I60="", "", I60&lt;3,"Poor", I60&lt;=4.4,"Average", I60&gt;=4.5,"Excellent"), "")</f>
        <v>Average</v>
      </c>
    </row>
    <row r="61" spans="1:10" x14ac:dyDescent="0.35">
      <c r="A61" t="s">
        <v>52</v>
      </c>
      <c r="B61" s="4">
        <v>1620</v>
      </c>
      <c r="C61" s="4">
        <v>2690</v>
      </c>
      <c r="D61" s="4">
        <f>C61-B61</f>
        <v>1070</v>
      </c>
      <c r="E61" s="9">
        <v>0.4</v>
      </c>
      <c r="F61" s="1" t="str">
        <f t="shared" si="0"/>
        <v>High</v>
      </c>
      <c r="G61">
        <v>1</v>
      </c>
      <c r="H61" s="7" t="s">
        <v>29</v>
      </c>
      <c r="I61" s="11">
        <f t="shared" si="1"/>
        <v>5</v>
      </c>
      <c r="J61" t="str" cm="1">
        <f t="array" ref="J61">IFERROR(_xlfn.IFS(I61="", "", I61&lt;3,"Poor", I61&lt;=4.4,"Average", I61&gt;=4.5,"Excellent"), "")</f>
        <v>Excellent</v>
      </c>
    </row>
    <row r="62" spans="1:10" x14ac:dyDescent="0.35">
      <c r="A62" t="s">
        <v>98</v>
      </c>
      <c r="B62" s="4">
        <v>1570</v>
      </c>
      <c r="C62" s="4">
        <v>2988</v>
      </c>
      <c r="D62" s="4">
        <f>C62-B62</f>
        <v>1418</v>
      </c>
      <c r="E62" s="9">
        <v>0.47</v>
      </c>
      <c r="F62" s="1" t="str">
        <f t="shared" si="0"/>
        <v>High</v>
      </c>
      <c r="G62">
        <v>7</v>
      </c>
      <c r="H62" s="7" t="s">
        <v>80</v>
      </c>
      <c r="I62" s="11">
        <f t="shared" si="1"/>
        <v>2.1</v>
      </c>
      <c r="J62" t="str" cm="1">
        <f t="array" ref="J62">IFERROR(_xlfn.IFS(I62="", "", I62&lt;3,"Poor", I62&lt;=4.4,"Average", I62&gt;=4.5,"Excellent"), "")</f>
        <v>Poor</v>
      </c>
    </row>
    <row r="63" spans="1:10" x14ac:dyDescent="0.35">
      <c r="A63" t="s">
        <v>42</v>
      </c>
      <c r="B63" s="4">
        <v>420</v>
      </c>
      <c r="C63" s="4">
        <v>647</v>
      </c>
      <c r="D63" s="4">
        <f>C63-B63</f>
        <v>227</v>
      </c>
      <c r="E63" s="9">
        <v>0.35</v>
      </c>
      <c r="F63" s="1" t="str">
        <f t="shared" si="0"/>
        <v>Medium</v>
      </c>
      <c r="G63">
        <v>49</v>
      </c>
      <c r="H63" s="7" t="s">
        <v>10</v>
      </c>
      <c r="I63" s="11">
        <f t="shared" si="1"/>
        <v>4.5999999999999996</v>
      </c>
      <c r="J63" t="str" cm="1">
        <f t="array" ref="J63">IFERROR(_xlfn.IFS(I63="", "", I63&lt;3,"Poor", I63&lt;=4.4,"Average", I63&gt;=4.5,"Excellent"), "")</f>
        <v>Excellent</v>
      </c>
    </row>
    <row r="64" spans="1:10" x14ac:dyDescent="0.35">
      <c r="A64" t="s">
        <v>47</v>
      </c>
      <c r="B64" s="4">
        <v>185</v>
      </c>
      <c r="C64" s="4">
        <v>382</v>
      </c>
      <c r="D64" s="4">
        <f>C64-B64</f>
        <v>197</v>
      </c>
      <c r="E64" s="9">
        <v>0.52</v>
      </c>
      <c r="F64" s="1" t="str">
        <f t="shared" si="0"/>
        <v>High</v>
      </c>
      <c r="G64">
        <v>9</v>
      </c>
      <c r="H64" s="7" t="s">
        <v>41</v>
      </c>
      <c r="I64" s="11">
        <f t="shared" si="1"/>
        <v>4.3</v>
      </c>
      <c r="J64" t="str" cm="1">
        <f t="array" ref="J64">IFERROR(_xlfn.IFS(I64="", "", I64&lt;3,"Poor", I64&lt;=4.4,"Average", I64&gt;=4.5,"Excellent"), "")</f>
        <v>Average</v>
      </c>
    </row>
    <row r="65" spans="1:10" x14ac:dyDescent="0.35">
      <c r="A65" t="s">
        <v>38</v>
      </c>
      <c r="B65" s="4">
        <v>1650</v>
      </c>
      <c r="C65" s="4">
        <v>2150</v>
      </c>
      <c r="D65" s="4">
        <f>C65-B65</f>
        <v>500</v>
      </c>
      <c r="E65" s="9">
        <v>0.23</v>
      </c>
      <c r="F65" s="1" t="str">
        <f t="shared" si="0"/>
        <v>Medium</v>
      </c>
      <c r="G65">
        <v>14</v>
      </c>
      <c r="H65" s="7" t="s">
        <v>39</v>
      </c>
      <c r="I65" s="11">
        <f t="shared" si="1"/>
        <v>4.4000000000000004</v>
      </c>
      <c r="J65" t="str" cm="1">
        <f t="array" ref="J65">IFERROR(_xlfn.IFS(I65="", "", I65&lt;3,"Poor", I65&lt;=4.4,"Average", I65&gt;=4.5,"Excellent"), "")</f>
        <v>Average</v>
      </c>
    </row>
    <row r="66" spans="1:10" x14ac:dyDescent="0.35">
      <c r="A66" t="s">
        <v>22</v>
      </c>
      <c r="B66" s="4">
        <v>799</v>
      </c>
      <c r="C66" s="4">
        <v>999</v>
      </c>
      <c r="D66" s="4">
        <f>C66-B66</f>
        <v>200</v>
      </c>
      <c r="E66" s="9">
        <v>0.2</v>
      </c>
      <c r="F66" s="1" t="str">
        <f t="shared" si="0"/>
        <v>Medium</v>
      </c>
      <c r="G66">
        <v>12</v>
      </c>
      <c r="H66" s="7" t="s">
        <v>8</v>
      </c>
      <c r="I66" s="11">
        <f t="shared" si="1"/>
        <v>4.0999999999999996</v>
      </c>
      <c r="J66" t="str" cm="1">
        <f t="array" ref="J66">IFERROR(_xlfn.IFS(I66="", "", I66&lt;3,"Poor", I66&lt;=4.4,"Average", I66&gt;=4.5,"Excellent"), "")</f>
        <v>Average</v>
      </c>
    </row>
    <row r="67" spans="1:10" x14ac:dyDescent="0.35">
      <c r="A67" t="s">
        <v>107</v>
      </c>
      <c r="B67" s="4">
        <v>330</v>
      </c>
      <c r="C67" s="4">
        <v>647</v>
      </c>
      <c r="D67" s="4">
        <f>C67-B67</f>
        <v>317</v>
      </c>
      <c r="E67" s="9">
        <v>0.49</v>
      </c>
      <c r="F67" s="1" t="str">
        <f t="shared" ref="F67:F113" si="2">IF(E67&lt;20%, "Low", IF(E67&lt;40%, "Medium", "High"))</f>
        <v>High</v>
      </c>
      <c r="G67">
        <v>1</v>
      </c>
      <c r="H67" s="7" t="s">
        <v>16</v>
      </c>
      <c r="I67" s="11">
        <f t="shared" ref="I67:I117" si="3">IFERROR(VALUE(LEFT(H67, FIND(" ", H67)-1)), "")</f>
        <v>4</v>
      </c>
      <c r="J67" t="str" cm="1">
        <f t="array" ref="J67">IFERROR(_xlfn.IFS(I67="", "", I67&lt;3,"Poor", I67&lt;=4.4,"Average", I67&gt;=4.5,"Excellent"), "")</f>
        <v>Average</v>
      </c>
    </row>
    <row r="68" spans="1:10" x14ac:dyDescent="0.35">
      <c r="A68" t="s">
        <v>83</v>
      </c>
      <c r="B68" s="4">
        <v>325</v>
      </c>
      <c r="C68" s="4">
        <v>680</v>
      </c>
      <c r="D68" s="4">
        <f>C68-B68</f>
        <v>355</v>
      </c>
      <c r="E68" s="9">
        <v>0.52</v>
      </c>
      <c r="F68" s="1" t="str">
        <f t="shared" si="2"/>
        <v>High</v>
      </c>
      <c r="G68">
        <v>15</v>
      </c>
      <c r="H68" s="7" t="s">
        <v>84</v>
      </c>
      <c r="I68" s="11">
        <f t="shared" si="3"/>
        <v>2.7</v>
      </c>
      <c r="J68" t="str" cm="1">
        <f t="array" ref="J68">IFERROR(_xlfn.IFS(I68="", "", I68&lt;3,"Poor", I68&lt;=4.4,"Average", I68&gt;=4.5,"Excellent"), "")</f>
        <v>Poor</v>
      </c>
    </row>
    <row r="69" spans="1:10" x14ac:dyDescent="0.35">
      <c r="A69" t="s">
        <v>124</v>
      </c>
      <c r="B69" s="4">
        <v>3640</v>
      </c>
      <c r="C69" s="4">
        <v>4588</v>
      </c>
      <c r="D69" s="4">
        <f>C69-B69</f>
        <v>948</v>
      </c>
      <c r="E69" s="9">
        <v>0.21</v>
      </c>
      <c r="F69" s="1" t="str">
        <f t="shared" si="2"/>
        <v>Medium</v>
      </c>
      <c r="G69">
        <v>1</v>
      </c>
      <c r="H69" s="7" t="s">
        <v>29</v>
      </c>
      <c r="I69" s="11">
        <f t="shared" si="3"/>
        <v>5</v>
      </c>
      <c r="J69" t="str" cm="1">
        <f t="array" ref="J69">IFERROR(_xlfn.IFS(I69="", "", I69&lt;3,"Poor", I69&lt;=4.4,"Average", I69&gt;=4.5,"Excellent"), "")</f>
        <v>Excellent</v>
      </c>
    </row>
    <row r="70" spans="1:10" x14ac:dyDescent="0.35">
      <c r="A70" t="s">
        <v>94</v>
      </c>
      <c r="B70" s="4">
        <v>2300</v>
      </c>
      <c r="C70" s="4">
        <v>3240</v>
      </c>
      <c r="D70" s="4">
        <f>C70-B70</f>
        <v>940</v>
      </c>
      <c r="E70" s="9">
        <v>0.28999999999999998</v>
      </c>
      <c r="F70" s="1" t="str">
        <f t="shared" si="2"/>
        <v>Medium</v>
      </c>
      <c r="G70">
        <v>5</v>
      </c>
      <c r="H70" s="7" t="s">
        <v>78</v>
      </c>
      <c r="I70" s="11">
        <f t="shared" si="3"/>
        <v>3</v>
      </c>
      <c r="J70" t="str" cm="1">
        <f t="array" ref="J70">IFERROR(_xlfn.IFS(I70="", "", I70&lt;3,"Poor", I70&lt;=4.4,"Average", I70&gt;=4.5,"Excellent"), "")</f>
        <v>Average</v>
      </c>
    </row>
    <row r="71" spans="1:10" x14ac:dyDescent="0.35">
      <c r="A71" t="s">
        <v>40</v>
      </c>
      <c r="B71" s="4">
        <v>2048</v>
      </c>
      <c r="C71" s="4">
        <v>4500</v>
      </c>
      <c r="D71" s="4">
        <f>C71-B71</f>
        <v>2452</v>
      </c>
      <c r="E71" s="9">
        <v>0.54</v>
      </c>
      <c r="F71" s="1" t="str">
        <f t="shared" si="2"/>
        <v>High</v>
      </c>
      <c r="G71">
        <v>7</v>
      </c>
      <c r="H71" s="7" t="s">
        <v>41</v>
      </c>
      <c r="I71" s="11">
        <f t="shared" si="3"/>
        <v>4.3</v>
      </c>
      <c r="J71" t="str" cm="1">
        <f t="array" ref="J71">IFERROR(_xlfn.IFS(I71="", "", I71&lt;3,"Poor", I71&lt;=4.4,"Average", I71&gt;=4.5,"Excellent"), "")</f>
        <v>Average</v>
      </c>
    </row>
    <row r="72" spans="1:10" x14ac:dyDescent="0.35">
      <c r="A72" t="s">
        <v>31</v>
      </c>
      <c r="B72" s="4">
        <v>2025</v>
      </c>
      <c r="C72" s="4">
        <v>3971</v>
      </c>
      <c r="D72" s="4">
        <f>C72-B72</f>
        <v>1946</v>
      </c>
      <c r="E72" s="9">
        <v>0.49</v>
      </c>
      <c r="F72" s="1" t="str">
        <f t="shared" si="2"/>
        <v>High</v>
      </c>
      <c r="G72">
        <v>3</v>
      </c>
      <c r="H72" s="7" t="s">
        <v>29</v>
      </c>
      <c r="I72" s="11">
        <f t="shared" si="3"/>
        <v>5</v>
      </c>
      <c r="J72" t="str" cm="1">
        <f t="array" ref="J72">IFERROR(_xlfn.IFS(I72="", "", I72&lt;3,"Poor", I72&lt;=4.4,"Average", I72&gt;=4.5,"Excellent"), "")</f>
        <v>Excellent</v>
      </c>
    </row>
    <row r="73" spans="1:10" x14ac:dyDescent="0.35">
      <c r="A73" t="s">
        <v>25</v>
      </c>
      <c r="B73" s="4">
        <v>501</v>
      </c>
      <c r="C73" s="4">
        <v>860</v>
      </c>
      <c r="D73" s="4">
        <f>C73-B73</f>
        <v>359</v>
      </c>
      <c r="E73" s="9">
        <v>0.42</v>
      </c>
      <c r="F73" s="1" t="str">
        <f t="shared" si="2"/>
        <v>High</v>
      </c>
      <c r="G73">
        <v>6</v>
      </c>
      <c r="H73" s="7" t="s">
        <v>6</v>
      </c>
      <c r="I73" s="11">
        <f t="shared" si="3"/>
        <v>4.5</v>
      </c>
      <c r="J73" t="str" cm="1">
        <f t="array" ref="J73">IFERROR(_xlfn.IFS(I73="", "", I73&lt;3,"Poor", I73&lt;=4.4,"Average", I73&gt;=4.5,"Excellent"), "")</f>
        <v>Excellent</v>
      </c>
    </row>
    <row r="74" spans="1:10" x14ac:dyDescent="0.35">
      <c r="A74" t="s">
        <v>19</v>
      </c>
      <c r="B74" s="4">
        <v>1274</v>
      </c>
      <c r="C74" s="4">
        <v>2800</v>
      </c>
      <c r="D74" s="4">
        <f>C74-B74</f>
        <v>1526</v>
      </c>
      <c r="E74" s="9">
        <v>0.55000000000000004</v>
      </c>
      <c r="F74" s="1" t="str">
        <f t="shared" si="2"/>
        <v>High</v>
      </c>
      <c r="G74">
        <v>5</v>
      </c>
      <c r="H74" s="7" t="s">
        <v>14</v>
      </c>
      <c r="I74" s="11">
        <f t="shared" si="3"/>
        <v>4.8</v>
      </c>
      <c r="J74" t="str" cm="1">
        <f t="array" ref="J74">IFERROR(_xlfn.IFS(I74="", "", I74&lt;3,"Poor", I74&lt;=4.4,"Average", I74&gt;=4.5,"Excellent"), "")</f>
        <v>Excellent</v>
      </c>
    </row>
    <row r="75" spans="1:10" x14ac:dyDescent="0.35">
      <c r="A75" t="s">
        <v>56</v>
      </c>
      <c r="B75" s="4">
        <v>2750</v>
      </c>
      <c r="C75" s="4">
        <v>4471</v>
      </c>
      <c r="D75" s="4">
        <f>C75-B75</f>
        <v>1721</v>
      </c>
      <c r="E75" s="9">
        <v>0.38</v>
      </c>
      <c r="F75" s="1" t="str">
        <f t="shared" si="2"/>
        <v>Medium</v>
      </c>
      <c r="H75" s="7" t="s">
        <v>140</v>
      </c>
      <c r="I75" s="11" t="str">
        <f t="shared" si="3"/>
        <v/>
      </c>
      <c r="J75" t="str" cm="1">
        <f t="array" ref="J75">IFERROR(_xlfn.IFS(I75="", "", I75&lt;3,"Poor", I75&lt;=4.4,"Average", I75&gt;=4.5,"Excellent"), "")</f>
        <v/>
      </c>
    </row>
    <row r="76" spans="1:10" x14ac:dyDescent="0.35">
      <c r="A76" t="s">
        <v>49</v>
      </c>
      <c r="B76" s="4">
        <v>1820</v>
      </c>
      <c r="C76" s="4">
        <v>3490</v>
      </c>
      <c r="D76" s="4">
        <f>C76-B76</f>
        <v>1670</v>
      </c>
      <c r="E76" s="9">
        <v>0.48</v>
      </c>
      <c r="F76" s="1" t="str">
        <f t="shared" si="2"/>
        <v>High</v>
      </c>
      <c r="G76">
        <v>9</v>
      </c>
      <c r="H76" s="7" t="s">
        <v>41</v>
      </c>
      <c r="I76" s="11">
        <f t="shared" si="3"/>
        <v>4.3</v>
      </c>
      <c r="J76" t="str" cm="1">
        <f t="array" ref="J76">IFERROR(_xlfn.IFS(I76="", "", I76&lt;3,"Poor", I76&lt;=4.4,"Average", I76&gt;=4.5,"Excellent"), "")</f>
        <v>Average</v>
      </c>
    </row>
    <row r="77" spans="1:10" x14ac:dyDescent="0.35">
      <c r="A77" t="s">
        <v>37</v>
      </c>
      <c r="B77" s="4">
        <v>880</v>
      </c>
      <c r="C77" s="4">
        <v>1350</v>
      </c>
      <c r="D77" s="4">
        <f>C77-B77</f>
        <v>470</v>
      </c>
      <c r="E77" s="9">
        <v>0.35</v>
      </c>
      <c r="F77" s="1" t="str">
        <f t="shared" si="2"/>
        <v>Medium</v>
      </c>
      <c r="G77">
        <v>6</v>
      </c>
      <c r="H77" s="7" t="s">
        <v>16</v>
      </c>
      <c r="I77" s="11">
        <f t="shared" si="3"/>
        <v>4</v>
      </c>
      <c r="J77" t="str" cm="1">
        <f t="array" ref="J77">IFERROR(_xlfn.IFS(I77="", "", I77&lt;3,"Poor", I77&lt;=4.4,"Average", I77&gt;=4.5,"Excellent"), "")</f>
        <v>Average</v>
      </c>
    </row>
    <row r="78" spans="1:10" x14ac:dyDescent="0.35">
      <c r="A78" t="s">
        <v>128</v>
      </c>
      <c r="B78" s="4">
        <v>1150</v>
      </c>
      <c r="C78" s="4">
        <v>1737</v>
      </c>
      <c r="D78" s="4">
        <f>C78-B78</f>
        <v>587</v>
      </c>
      <c r="E78" s="9">
        <v>0.34</v>
      </c>
      <c r="F78" s="1" t="str">
        <f t="shared" si="2"/>
        <v>Medium</v>
      </c>
      <c r="H78" s="7" t="s">
        <v>140</v>
      </c>
      <c r="I78" s="11" t="str">
        <f t="shared" si="3"/>
        <v/>
      </c>
      <c r="J78" t="str" cm="1">
        <f t="array" ref="J78">IFERROR(_xlfn.IFS(I78="", "", I78&lt;3,"Poor", I78&lt;=4.4,"Average", I78&gt;=4.5,"Excellent"), "")</f>
        <v/>
      </c>
    </row>
    <row r="79" spans="1:10" x14ac:dyDescent="0.35">
      <c r="A79" t="s">
        <v>32</v>
      </c>
      <c r="B79" s="4">
        <v>2999</v>
      </c>
      <c r="C79" s="4">
        <v>3699</v>
      </c>
      <c r="D79" s="4">
        <f>C79-B79</f>
        <v>700</v>
      </c>
      <c r="E79" s="9">
        <v>0.19</v>
      </c>
      <c r="F79" s="1" t="str">
        <f t="shared" si="2"/>
        <v>Low</v>
      </c>
      <c r="G79">
        <v>5</v>
      </c>
      <c r="H79" s="7" t="s">
        <v>10</v>
      </c>
      <c r="I79" s="11">
        <f t="shared" si="3"/>
        <v>4.5999999999999996</v>
      </c>
      <c r="J79" t="str" cm="1">
        <f t="array" ref="J79">IFERROR(_xlfn.IFS(I79="", "", I79&lt;3,"Poor", I79&lt;=4.4,"Average", I79&gt;=4.5,"Excellent"), "")</f>
        <v>Excellent</v>
      </c>
    </row>
    <row r="80" spans="1:10" x14ac:dyDescent="0.35">
      <c r="A80" t="s">
        <v>103</v>
      </c>
      <c r="B80" s="4">
        <v>1189</v>
      </c>
      <c r="C80" s="4">
        <v>2199</v>
      </c>
      <c r="D80" s="4">
        <f>C80-B80</f>
        <v>1010</v>
      </c>
      <c r="E80" s="9">
        <v>0.46</v>
      </c>
      <c r="F80" s="1" t="str">
        <f t="shared" si="2"/>
        <v>High</v>
      </c>
      <c r="G80">
        <v>1</v>
      </c>
      <c r="H80" s="7" t="s">
        <v>78</v>
      </c>
      <c r="I80" s="11">
        <f t="shared" si="3"/>
        <v>3</v>
      </c>
      <c r="J80" t="str" cm="1">
        <f t="array" ref="J80">IFERROR(_xlfn.IFS(I80="", "", I80&lt;3,"Poor", I80&lt;=4.4,"Average", I80&gt;=4.5,"Excellent"), "")</f>
        <v>Average</v>
      </c>
    </row>
    <row r="81" spans="1:10" x14ac:dyDescent="0.35">
      <c r="A81" t="s">
        <v>7</v>
      </c>
      <c r="B81" s="4">
        <v>527</v>
      </c>
      <c r="C81" s="4">
        <v>999</v>
      </c>
      <c r="D81" s="4">
        <f>C81-B81</f>
        <v>472</v>
      </c>
      <c r="E81" s="9">
        <v>0.47</v>
      </c>
      <c r="F81" s="1" t="str">
        <f t="shared" si="2"/>
        <v>High</v>
      </c>
      <c r="G81">
        <v>14</v>
      </c>
      <c r="H81" s="7" t="s">
        <v>8</v>
      </c>
      <c r="I81" s="11">
        <f t="shared" si="3"/>
        <v>4.0999999999999996</v>
      </c>
      <c r="J81" t="str" cm="1">
        <f t="array" ref="J81">IFERROR(_xlfn.IFS(I81="", "", I81&lt;3,"Poor", I81&lt;=4.4,"Average", I81&gt;=4.5,"Excellent"), "")</f>
        <v>Average</v>
      </c>
    </row>
    <row r="82" spans="1:10" x14ac:dyDescent="0.35">
      <c r="A82" t="s">
        <v>121</v>
      </c>
      <c r="B82" s="4">
        <v>3546</v>
      </c>
      <c r="C82" s="4">
        <v>3699</v>
      </c>
      <c r="D82" s="4">
        <f>C82-B82</f>
        <v>153</v>
      </c>
      <c r="E82" s="9">
        <v>0.04</v>
      </c>
      <c r="F82" s="1" t="str">
        <f t="shared" si="2"/>
        <v>Low</v>
      </c>
      <c r="H82" s="7" t="s">
        <v>140</v>
      </c>
      <c r="I82" s="11" t="str">
        <f t="shared" si="3"/>
        <v/>
      </c>
      <c r="J82" t="str" cm="1">
        <f t="array" ref="J82">IFERROR(_xlfn.IFS(I82="", "", I82&lt;3,"Poor", I82&lt;=4.4,"Average", I82&gt;=4.5,"Excellent"), "")</f>
        <v/>
      </c>
    </row>
    <row r="83" spans="1:10" x14ac:dyDescent="0.35">
      <c r="A83" t="s">
        <v>58</v>
      </c>
      <c r="B83" s="4">
        <v>238</v>
      </c>
      <c r="C83" s="4">
        <v>476</v>
      </c>
      <c r="D83" s="4">
        <f>C83-B83</f>
        <v>238</v>
      </c>
      <c r="E83" s="9">
        <v>0.5</v>
      </c>
      <c r="F83" s="1" t="str">
        <f t="shared" si="2"/>
        <v>High</v>
      </c>
      <c r="H83" s="7" t="s">
        <v>140</v>
      </c>
      <c r="I83" s="11" t="str">
        <f t="shared" si="3"/>
        <v/>
      </c>
      <c r="J83" t="str" cm="1">
        <f t="array" ref="J83">IFERROR(_xlfn.IFS(I83="", "", I83&lt;3,"Poor", I83&lt;=4.4,"Average", I83&gt;=4.5,"Excellent"), "")</f>
        <v/>
      </c>
    </row>
    <row r="84" spans="1:10" x14ac:dyDescent="0.35">
      <c r="A84" t="s">
        <v>26</v>
      </c>
      <c r="B84" s="4">
        <v>1680</v>
      </c>
      <c r="C84" s="4">
        <v>2499</v>
      </c>
      <c r="D84" s="4">
        <f>C84-B84</f>
        <v>819</v>
      </c>
      <c r="E84" s="9">
        <v>0.33</v>
      </c>
      <c r="F84" s="1" t="str">
        <f t="shared" si="2"/>
        <v>Medium</v>
      </c>
      <c r="G84">
        <v>9</v>
      </c>
      <c r="H84" s="7" t="s">
        <v>27</v>
      </c>
      <c r="I84" s="11">
        <f t="shared" si="3"/>
        <v>4.2</v>
      </c>
      <c r="J84" t="str" cm="1">
        <f t="array" ref="J84">IFERROR(_xlfn.IFS(I84="", "", I84&lt;3,"Poor", I84&lt;=4.4,"Average", I84&gt;=4.5,"Excellent"), "")</f>
        <v>Average</v>
      </c>
    </row>
    <row r="85" spans="1:10" x14ac:dyDescent="0.35">
      <c r="A85" t="s">
        <v>112</v>
      </c>
      <c r="B85" s="4">
        <v>630</v>
      </c>
      <c r="C85" s="4">
        <v>1100</v>
      </c>
      <c r="D85" s="4">
        <f>C85-B85</f>
        <v>470</v>
      </c>
      <c r="E85" s="9">
        <v>0.43</v>
      </c>
      <c r="F85" s="1" t="str">
        <f t="shared" si="2"/>
        <v>High</v>
      </c>
      <c r="H85" s="7" t="s">
        <v>140</v>
      </c>
      <c r="I85" s="11" t="str">
        <f t="shared" si="3"/>
        <v/>
      </c>
      <c r="J85" t="str" cm="1">
        <f t="array" ref="J85">IFERROR(_xlfn.IFS(I85="", "", I85&lt;3,"Poor", I85&lt;=4.4,"Average", I85&gt;=4.5,"Excellent"), "")</f>
        <v/>
      </c>
    </row>
    <row r="86" spans="1:10" x14ac:dyDescent="0.35">
      <c r="A86" t="s">
        <v>46</v>
      </c>
      <c r="B86" s="4">
        <v>2200</v>
      </c>
      <c r="C86" s="4">
        <v>4080</v>
      </c>
      <c r="D86" s="4">
        <f>C86-B86</f>
        <v>1880</v>
      </c>
      <c r="E86" s="9">
        <v>0.46</v>
      </c>
      <c r="F86" s="1" t="str">
        <f t="shared" si="2"/>
        <v>High</v>
      </c>
      <c r="H86" s="7" t="s">
        <v>140</v>
      </c>
      <c r="I86" s="11" t="str">
        <f t="shared" si="3"/>
        <v/>
      </c>
      <c r="J86" t="str" cm="1">
        <f t="array" ref="J86">IFERROR(_xlfn.IFS(I86="", "", I86&lt;3,"Poor", I86&lt;=4.4,"Average", I86&gt;=4.5,"Excellent"), "")</f>
        <v/>
      </c>
    </row>
    <row r="87" spans="1:10" x14ac:dyDescent="0.35">
      <c r="A87" t="s">
        <v>69</v>
      </c>
      <c r="B87" s="4">
        <v>1459</v>
      </c>
      <c r="C87" s="4">
        <v>1499</v>
      </c>
      <c r="D87" s="4">
        <f>C87-B87</f>
        <v>40</v>
      </c>
      <c r="E87" s="9">
        <v>0.03</v>
      </c>
      <c r="F87" s="1" t="str">
        <f t="shared" si="2"/>
        <v>Low</v>
      </c>
      <c r="H87" s="7" t="s">
        <v>140</v>
      </c>
      <c r="I87" s="11" t="str">
        <f t="shared" si="3"/>
        <v/>
      </c>
      <c r="J87" t="str" cm="1">
        <f t="array" ref="J87">IFERROR(_xlfn.IFS(I87="", "", I87&lt;3,"Poor", I87&lt;=4.4,"Average", I87&gt;=4.5,"Excellent"), "")</f>
        <v/>
      </c>
    </row>
    <row r="88" spans="1:10" x14ac:dyDescent="0.35">
      <c r="A88" t="s">
        <v>77</v>
      </c>
      <c r="B88" s="4">
        <v>458</v>
      </c>
      <c r="C88" s="4">
        <v>986</v>
      </c>
      <c r="D88" s="4">
        <f>C88-B88</f>
        <v>528</v>
      </c>
      <c r="E88" s="9">
        <v>0.54</v>
      </c>
      <c r="F88" s="1" t="str">
        <f t="shared" si="2"/>
        <v>High</v>
      </c>
      <c r="G88">
        <v>10</v>
      </c>
      <c r="H88" s="7" t="s">
        <v>78</v>
      </c>
      <c r="I88" s="11">
        <f t="shared" si="3"/>
        <v>3</v>
      </c>
      <c r="J88" t="str" cm="1">
        <f t="array" ref="J88">IFERROR(_xlfn.IFS(I88="", "", I88&lt;3,"Poor", I88&lt;=4.4,"Average", I88&gt;=4.5,"Excellent"), "")</f>
        <v>Average</v>
      </c>
    </row>
    <row r="89" spans="1:10" x14ac:dyDescent="0.35">
      <c r="A89" t="s">
        <v>108</v>
      </c>
      <c r="B89" s="4">
        <v>1466</v>
      </c>
      <c r="C89" s="4">
        <v>1699</v>
      </c>
      <c r="D89" s="4">
        <f>C89-B89</f>
        <v>233</v>
      </c>
      <c r="E89" s="9">
        <v>0.14000000000000001</v>
      </c>
      <c r="F89" s="1" t="str">
        <f t="shared" si="2"/>
        <v>Low</v>
      </c>
      <c r="H89" s="7" t="s">
        <v>140</v>
      </c>
      <c r="I89" s="11" t="str">
        <f t="shared" si="3"/>
        <v/>
      </c>
      <c r="J89" t="str" cm="1">
        <f t="array" ref="J89">IFERROR(_xlfn.IFS(I89="", "", I89&lt;3,"Poor", I89&lt;=4.4,"Average", I89&gt;=4.5,"Excellent"), "")</f>
        <v/>
      </c>
    </row>
    <row r="90" spans="1:10" x14ac:dyDescent="0.35">
      <c r="A90" t="s">
        <v>110</v>
      </c>
      <c r="B90" s="4">
        <v>799</v>
      </c>
      <c r="C90" s="4">
        <v>900</v>
      </c>
      <c r="D90" s="4">
        <f>C90-B90</f>
        <v>101</v>
      </c>
      <c r="E90" s="9">
        <v>0.11</v>
      </c>
      <c r="F90" s="1" t="str">
        <f t="shared" si="2"/>
        <v>Low</v>
      </c>
      <c r="H90" s="7" t="s">
        <v>140</v>
      </c>
      <c r="I90" s="11" t="str">
        <f t="shared" si="3"/>
        <v/>
      </c>
      <c r="J90" t="str" cm="1">
        <f t="array" ref="J90">IFERROR(_xlfn.IFS(I90="", "", I90&lt;3,"Poor", I90&lt;=4.4,"Average", I90&gt;=4.5,"Excellent"), "")</f>
        <v/>
      </c>
    </row>
    <row r="91" spans="1:10" x14ac:dyDescent="0.35">
      <c r="A91" t="s">
        <v>30</v>
      </c>
      <c r="B91" s="4">
        <v>195</v>
      </c>
      <c r="C91" s="4">
        <v>360</v>
      </c>
      <c r="D91" s="4">
        <f>C91-B91</f>
        <v>165</v>
      </c>
      <c r="E91" s="9">
        <v>0.46</v>
      </c>
      <c r="F91" s="1" t="str">
        <f t="shared" si="2"/>
        <v>High</v>
      </c>
      <c r="G91">
        <v>2</v>
      </c>
      <c r="H91" s="7" t="s">
        <v>29</v>
      </c>
      <c r="I91" s="11">
        <f t="shared" si="3"/>
        <v>5</v>
      </c>
      <c r="J91" t="str" cm="1">
        <f t="array" ref="J91">IFERROR(_xlfn.IFS(I91="", "", I91&lt;3,"Poor", I91&lt;=4.4,"Average", I91&gt;=4.5,"Excellent"), "")</f>
        <v>Excellent</v>
      </c>
    </row>
    <row r="92" spans="1:10" x14ac:dyDescent="0.35">
      <c r="A92" t="s">
        <v>67</v>
      </c>
      <c r="B92" s="4">
        <v>1660</v>
      </c>
      <c r="C92" s="4">
        <v>1699</v>
      </c>
      <c r="D92" s="4">
        <f>C92-B92</f>
        <v>39</v>
      </c>
      <c r="E92" s="9">
        <v>0.02</v>
      </c>
      <c r="F92" s="1" t="str">
        <f t="shared" si="2"/>
        <v>Low</v>
      </c>
      <c r="H92" s="7" t="s">
        <v>140</v>
      </c>
      <c r="I92" s="11" t="str">
        <f t="shared" si="3"/>
        <v/>
      </c>
      <c r="J92" t="str" cm="1">
        <f t="array" ref="J92">IFERROR(_xlfn.IFS(I92="", "", I92&lt;3,"Poor", I92&lt;=4.4,"Average", I92&gt;=4.5,"Excellent"), "")</f>
        <v/>
      </c>
    </row>
    <row r="93" spans="1:10" x14ac:dyDescent="0.35">
      <c r="A93" t="s">
        <v>68</v>
      </c>
      <c r="B93" s="4">
        <v>299</v>
      </c>
      <c r="C93" s="4">
        <v>384</v>
      </c>
      <c r="D93" s="4">
        <f>C93-B93</f>
        <v>85</v>
      </c>
      <c r="E93" s="9">
        <v>0.22</v>
      </c>
      <c r="F93" s="1" t="str">
        <f t="shared" si="2"/>
        <v>Medium</v>
      </c>
      <c r="H93" s="7" t="s">
        <v>140</v>
      </c>
      <c r="I93" s="11" t="str">
        <f t="shared" si="3"/>
        <v/>
      </c>
      <c r="J93" t="str" cm="1">
        <f t="array" ref="J93">IFERROR(_xlfn.IFS(I93="", "", I93&lt;3,"Poor", I93&lt;=4.4,"Average", I93&gt;=4.5,"Excellent"), "")</f>
        <v/>
      </c>
    </row>
    <row r="94" spans="1:10" x14ac:dyDescent="0.35">
      <c r="A94" t="s">
        <v>13</v>
      </c>
      <c r="B94" s="4">
        <v>1740</v>
      </c>
      <c r="C94" s="4">
        <v>2356</v>
      </c>
      <c r="D94" s="4">
        <f>C94-B94</f>
        <v>616</v>
      </c>
      <c r="E94" s="9">
        <v>0.26</v>
      </c>
      <c r="F94" s="1" t="str">
        <f t="shared" si="2"/>
        <v>Medium</v>
      </c>
      <c r="G94">
        <v>5</v>
      </c>
      <c r="H94" s="7" t="s">
        <v>14</v>
      </c>
      <c r="I94" s="11">
        <f t="shared" si="3"/>
        <v>4.8</v>
      </c>
      <c r="J94" t="str" cm="1">
        <f t="array" ref="J94">IFERROR(_xlfn.IFS(I94="", "", I94&lt;3,"Poor", I94&lt;=4.4,"Average", I94&gt;=4.5,"Excellent"), "")</f>
        <v>Excellent</v>
      </c>
    </row>
    <row r="95" spans="1:10" x14ac:dyDescent="0.35">
      <c r="A95" t="s">
        <v>9</v>
      </c>
      <c r="B95" s="4">
        <v>2199</v>
      </c>
      <c r="C95" s="4">
        <v>2923</v>
      </c>
      <c r="D95" s="4">
        <f>C95-B95</f>
        <v>724</v>
      </c>
      <c r="E95" s="9">
        <v>0.25</v>
      </c>
      <c r="F95" s="1" t="str">
        <f t="shared" si="2"/>
        <v>Medium</v>
      </c>
      <c r="G95">
        <v>24</v>
      </c>
      <c r="H95" s="7" t="s">
        <v>10</v>
      </c>
      <c r="I95" s="11">
        <f t="shared" si="3"/>
        <v>4.5999999999999996</v>
      </c>
      <c r="J95" t="str" cm="1">
        <f t="array" ref="J95">IFERROR(_xlfn.IFS(I95="", "", I95&lt;3,"Poor", I95&lt;=4.4,"Average", I95&gt;=4.5,"Excellent"), "")</f>
        <v>Excellent</v>
      </c>
    </row>
    <row r="96" spans="1:10" x14ac:dyDescent="0.35">
      <c r="A96" t="s">
        <v>119</v>
      </c>
      <c r="B96" s="4">
        <v>1462</v>
      </c>
      <c r="C96" s="4">
        <v>1499</v>
      </c>
      <c r="D96" s="4">
        <f>C96-B96</f>
        <v>37</v>
      </c>
      <c r="E96" s="9">
        <v>0.02</v>
      </c>
      <c r="F96" s="1" t="str">
        <f t="shared" si="2"/>
        <v>Low</v>
      </c>
      <c r="H96" s="7" t="s">
        <v>140</v>
      </c>
      <c r="I96" s="11" t="str">
        <f t="shared" si="3"/>
        <v/>
      </c>
      <c r="J96" t="str" cm="1">
        <f t="array" ref="J96">IFERROR(_xlfn.IFS(I96="", "", I96&lt;3,"Poor", I96&lt;=4.4,"Average", I96&gt;=4.5,"Excellent"), "")</f>
        <v/>
      </c>
    </row>
    <row r="97" spans="1:10" x14ac:dyDescent="0.35">
      <c r="A97" t="s">
        <v>43</v>
      </c>
      <c r="B97" s="4">
        <v>2880</v>
      </c>
      <c r="C97" s="4">
        <v>3520</v>
      </c>
      <c r="D97" s="4">
        <f>C97-B97</f>
        <v>640</v>
      </c>
      <c r="E97" s="9">
        <v>0.18</v>
      </c>
      <c r="F97" s="1" t="str">
        <f t="shared" si="2"/>
        <v>Low</v>
      </c>
      <c r="G97">
        <v>12</v>
      </c>
      <c r="H97" s="7" t="s">
        <v>21</v>
      </c>
      <c r="I97" s="11">
        <f t="shared" si="3"/>
        <v>3.8</v>
      </c>
      <c r="J97" t="str" cm="1">
        <f t="array" ref="J97">IFERROR(_xlfn.IFS(I97="", "", I97&lt;3,"Poor", I97&lt;=4.4,"Average", I97&gt;=4.5,"Excellent"), "")</f>
        <v>Average</v>
      </c>
    </row>
    <row r="98" spans="1:10" x14ac:dyDescent="0.35">
      <c r="A98" t="s">
        <v>114</v>
      </c>
      <c r="B98" s="4">
        <v>1300</v>
      </c>
      <c r="C98" s="4">
        <v>2500</v>
      </c>
      <c r="D98" s="4">
        <f>C98-B98</f>
        <v>1200</v>
      </c>
      <c r="E98" s="9">
        <v>0.48</v>
      </c>
      <c r="F98" s="1" t="str">
        <f t="shared" si="2"/>
        <v>High</v>
      </c>
      <c r="H98" s="7" t="s">
        <v>140</v>
      </c>
      <c r="I98" s="11" t="str">
        <f t="shared" si="3"/>
        <v/>
      </c>
      <c r="J98" t="str" cm="1">
        <f t="array" ref="J98">IFERROR(_xlfn.IFS(I98="", "", I98&lt;3,"Poor", I98&lt;=4.4,"Average", I98&gt;=4.5,"Excellent"), "")</f>
        <v/>
      </c>
    </row>
    <row r="99" spans="1:10" x14ac:dyDescent="0.35">
      <c r="A99" t="s">
        <v>54</v>
      </c>
      <c r="B99" s="4">
        <v>389</v>
      </c>
      <c r="C99" s="4">
        <v>656</v>
      </c>
      <c r="D99" s="4">
        <f>C99-B99</f>
        <v>267</v>
      </c>
      <c r="E99" s="9">
        <v>0.41</v>
      </c>
      <c r="F99" s="1" t="str">
        <f t="shared" si="2"/>
        <v>High</v>
      </c>
      <c r="G99">
        <v>36</v>
      </c>
      <c r="H99" s="7" t="s">
        <v>41</v>
      </c>
      <c r="I99" s="11">
        <f t="shared" si="3"/>
        <v>4.3</v>
      </c>
      <c r="J99" t="str" cm="1">
        <f t="array" ref="J99">IFERROR(_xlfn.IFS(I99="", "", I99&lt;3,"Poor", I99&lt;=4.4,"Average", I99&gt;=4.5,"Excellent"), "")</f>
        <v>Average</v>
      </c>
    </row>
    <row r="100" spans="1:10" x14ac:dyDescent="0.35">
      <c r="A100" t="s">
        <v>115</v>
      </c>
      <c r="B100" s="4">
        <v>105</v>
      </c>
      <c r="C100" s="4">
        <v>200</v>
      </c>
      <c r="D100" s="4">
        <f>C100-B100</f>
        <v>95</v>
      </c>
      <c r="E100" s="9">
        <v>0.48</v>
      </c>
      <c r="F100" s="1" t="str">
        <f t="shared" si="2"/>
        <v>High</v>
      </c>
      <c r="H100" s="7" t="s">
        <v>140</v>
      </c>
      <c r="I100" s="11" t="str">
        <f t="shared" si="3"/>
        <v/>
      </c>
      <c r="J100" t="str" cm="1">
        <f t="array" ref="J100">IFERROR(_xlfn.IFS(I100="", "", I100&lt;3,"Poor", I100&lt;=4.4,"Average", I100&gt;=4.5,"Excellent"), "")</f>
        <v/>
      </c>
    </row>
    <row r="101" spans="1:10" x14ac:dyDescent="0.35">
      <c r="A101" t="s">
        <v>60</v>
      </c>
      <c r="B101" s="4">
        <v>2132</v>
      </c>
      <c r="C101" s="4">
        <v>2169</v>
      </c>
      <c r="D101" s="4">
        <f>C101-B101</f>
        <v>37</v>
      </c>
      <c r="E101" s="9">
        <v>0.02</v>
      </c>
      <c r="F101" s="1" t="str">
        <f t="shared" si="2"/>
        <v>Low</v>
      </c>
      <c r="H101" s="7" t="s">
        <v>140</v>
      </c>
      <c r="I101" s="11" t="str">
        <f t="shared" si="3"/>
        <v/>
      </c>
      <c r="J101" t="str" cm="1">
        <f t="array" ref="J101">IFERROR(_xlfn.IFS(I101="", "", I101&lt;3,"Poor", I101&lt;=4.4,"Average", I101&gt;=4.5,"Excellent"), "")</f>
        <v/>
      </c>
    </row>
    <row r="102" spans="1:10" x14ac:dyDescent="0.35">
      <c r="A102" t="s">
        <v>130</v>
      </c>
      <c r="B102" s="4">
        <v>1658</v>
      </c>
      <c r="C102" s="4">
        <v>1699</v>
      </c>
      <c r="D102" s="4">
        <f>C102-B102</f>
        <v>41</v>
      </c>
      <c r="E102" s="9">
        <v>0.02</v>
      </c>
      <c r="F102" s="1" t="str">
        <f t="shared" si="2"/>
        <v>Low</v>
      </c>
      <c r="H102" s="7" t="s">
        <v>140</v>
      </c>
      <c r="I102" s="11" t="str">
        <f t="shared" si="3"/>
        <v/>
      </c>
      <c r="J102" t="str" cm="1">
        <f t="array" ref="J102">IFERROR(_xlfn.IFS(I102="", "", I102&lt;3,"Poor", I102&lt;=4.4,"Average", I102&gt;=4.5,"Excellent"), "")</f>
        <v/>
      </c>
    </row>
    <row r="103" spans="1:10" x14ac:dyDescent="0.35">
      <c r="A103" t="s">
        <v>71</v>
      </c>
      <c r="B103" s="4">
        <v>499</v>
      </c>
      <c r="C103" s="4">
        <v>900</v>
      </c>
      <c r="D103" s="4">
        <f>C103-B103</f>
        <v>401</v>
      </c>
      <c r="E103" s="9">
        <v>0.45</v>
      </c>
      <c r="F103" s="1" t="str">
        <f t="shared" si="2"/>
        <v>High</v>
      </c>
      <c r="H103" s="7" t="s">
        <v>140</v>
      </c>
      <c r="I103" s="11" t="str">
        <f t="shared" si="3"/>
        <v/>
      </c>
      <c r="J103" t="str" cm="1">
        <f t="array" ref="J103">IFERROR(_xlfn.IFS(I103="", "", I103&lt;3,"Poor", I103&lt;=4.4,"Average", I103&gt;=4.5,"Excellent"), "")</f>
        <v/>
      </c>
    </row>
    <row r="104" spans="1:10" x14ac:dyDescent="0.35">
      <c r="A104" t="s">
        <v>71</v>
      </c>
      <c r="B104" s="4">
        <v>399</v>
      </c>
      <c r="C104" s="4">
        <v>896</v>
      </c>
      <c r="D104" s="4">
        <f>C104-B104</f>
        <v>497</v>
      </c>
      <c r="E104" s="9">
        <v>0.55000000000000004</v>
      </c>
      <c r="F104" s="1" t="str">
        <f t="shared" si="2"/>
        <v>High</v>
      </c>
      <c r="H104" s="7" t="s">
        <v>140</v>
      </c>
      <c r="I104" s="11" t="str">
        <f t="shared" si="3"/>
        <v/>
      </c>
      <c r="J104" t="str" cm="1">
        <f t="array" ref="J104">IFERROR(_xlfn.IFS(I104="", "", I104&lt;3,"Poor", I104&lt;=4.4,"Average", I104&gt;=4.5,"Excellent"), "")</f>
        <v/>
      </c>
    </row>
    <row r="105" spans="1:10" x14ac:dyDescent="0.35">
      <c r="A105" t="s">
        <v>131</v>
      </c>
      <c r="B105" s="4">
        <v>1768</v>
      </c>
      <c r="C105" s="4">
        <v>1799</v>
      </c>
      <c r="D105" s="4">
        <f>C105-B105</f>
        <v>31</v>
      </c>
      <c r="E105" s="9">
        <v>0.02</v>
      </c>
      <c r="F105" s="1" t="str">
        <f t="shared" si="2"/>
        <v>Low</v>
      </c>
      <c r="H105" s="7" t="s">
        <v>140</v>
      </c>
      <c r="I105" s="11" t="str">
        <f t="shared" si="3"/>
        <v/>
      </c>
      <c r="J105" t="str" cm="1">
        <f t="array" ref="J105">IFERROR(_xlfn.IFS(I105="", "", I105&lt;3,"Poor", I105&lt;=4.4,"Average", I105&gt;=4.5,"Excellent"), "")</f>
        <v/>
      </c>
    </row>
    <row r="106" spans="1:10" x14ac:dyDescent="0.35">
      <c r="A106" t="s">
        <v>85</v>
      </c>
      <c r="B106" s="4">
        <v>1220</v>
      </c>
      <c r="C106" s="4">
        <v>1555</v>
      </c>
      <c r="D106" s="4">
        <f>C106-B106</f>
        <v>335</v>
      </c>
      <c r="E106" s="9">
        <v>0.22</v>
      </c>
      <c r="F106" s="1" t="str">
        <f t="shared" si="2"/>
        <v>Medium</v>
      </c>
      <c r="G106">
        <v>16</v>
      </c>
      <c r="H106" s="7" t="s">
        <v>86</v>
      </c>
      <c r="I106" s="11">
        <f t="shared" si="3"/>
        <v>2.9</v>
      </c>
      <c r="J106" t="str" cm="1">
        <f t="array" ref="J106">IFERROR(_xlfn.IFS(I106="", "", I106&lt;3,"Poor", I106&lt;=4.4,"Average", I106&gt;=4.5,"Excellent"), "")</f>
        <v>Poor</v>
      </c>
    </row>
    <row r="107" spans="1:10" x14ac:dyDescent="0.35">
      <c r="A107" t="s">
        <v>113</v>
      </c>
      <c r="B107" s="4">
        <v>850</v>
      </c>
      <c r="C107" s="4">
        <v>1700</v>
      </c>
      <c r="D107" s="4">
        <f>C107-B107</f>
        <v>850</v>
      </c>
      <c r="E107" s="9">
        <v>0.5</v>
      </c>
      <c r="F107" s="1" t="str">
        <f t="shared" si="2"/>
        <v>High</v>
      </c>
      <c r="H107" s="7" t="s">
        <v>140</v>
      </c>
      <c r="I107" s="11" t="str">
        <f t="shared" si="3"/>
        <v/>
      </c>
      <c r="J107" t="str" cm="1">
        <f t="array" ref="J107">IFERROR(_xlfn.IFS(I107="", "", I107&lt;3,"Poor", I107&lt;=4.4,"Average", I107&gt;=4.5,"Excellent"), "")</f>
        <v/>
      </c>
    </row>
    <row r="108" spans="1:10" x14ac:dyDescent="0.35">
      <c r="A108" t="s">
        <v>118</v>
      </c>
      <c r="B108" s="4">
        <v>1526</v>
      </c>
      <c r="C108" s="4">
        <v>1660</v>
      </c>
      <c r="D108" s="4">
        <f>C108-B108</f>
        <v>134</v>
      </c>
      <c r="E108" s="9">
        <v>0.08</v>
      </c>
      <c r="F108" s="1" t="str">
        <f t="shared" si="2"/>
        <v>Low</v>
      </c>
      <c r="H108" s="7" t="s">
        <v>140</v>
      </c>
      <c r="I108" s="11" t="str">
        <f t="shared" si="3"/>
        <v/>
      </c>
      <c r="J108" t="str" cm="1">
        <f t="array" ref="J108">IFERROR(_xlfn.IFS(I108="", "", I108&lt;3,"Poor", I108&lt;=4.4,"Average", I108&gt;=4.5,"Excellent"), "")</f>
        <v/>
      </c>
    </row>
    <row r="109" spans="1:10" x14ac:dyDescent="0.35">
      <c r="A109" t="s">
        <v>133</v>
      </c>
      <c r="B109" s="4">
        <v>450</v>
      </c>
      <c r="C109" s="4">
        <v>900</v>
      </c>
      <c r="D109" s="4">
        <f>C109-B109</f>
        <v>450</v>
      </c>
      <c r="E109" s="9">
        <v>0.5</v>
      </c>
      <c r="F109" s="1" t="str">
        <f t="shared" si="2"/>
        <v>High</v>
      </c>
      <c r="G109">
        <v>1</v>
      </c>
      <c r="H109" s="7" t="s">
        <v>134</v>
      </c>
      <c r="I109" s="11">
        <f t="shared" si="3"/>
        <v>2</v>
      </c>
      <c r="J109" t="str" cm="1">
        <f t="array" ref="J109">IFERROR(_xlfn.IFS(I109="", "", I109&lt;3,"Poor", I109&lt;=4.4,"Average", I109&gt;=4.5,"Excellent"), "")</f>
        <v>Poor</v>
      </c>
    </row>
    <row r="110" spans="1:10" x14ac:dyDescent="0.35">
      <c r="A110" t="s">
        <v>111</v>
      </c>
      <c r="B110" s="4">
        <v>1468</v>
      </c>
      <c r="C110" s="4">
        <v>1699</v>
      </c>
      <c r="D110" s="4">
        <f>C110-B110</f>
        <v>231</v>
      </c>
      <c r="E110" s="9">
        <v>0.14000000000000001</v>
      </c>
      <c r="F110" s="1" t="str">
        <f t="shared" si="2"/>
        <v>Low</v>
      </c>
      <c r="H110" s="7" t="s">
        <v>140</v>
      </c>
      <c r="I110" s="11" t="str">
        <f t="shared" si="3"/>
        <v/>
      </c>
      <c r="J110" t="str" cm="1">
        <f t="array" ref="J110">IFERROR(_xlfn.IFS(I110="", "", I110&lt;3,"Poor", I110&lt;=4.4,"Average", I110&gt;=4.5,"Excellent"), "")</f>
        <v/>
      </c>
    </row>
    <row r="111" spans="1:10" x14ac:dyDescent="0.35">
      <c r="A111" t="s">
        <v>95</v>
      </c>
      <c r="B111" s="4">
        <v>345</v>
      </c>
      <c r="C111" s="4">
        <v>602</v>
      </c>
      <c r="D111" s="4">
        <f>C111-B111</f>
        <v>257</v>
      </c>
      <c r="E111" s="9">
        <v>0.43</v>
      </c>
      <c r="F111" s="1" t="str">
        <f t="shared" si="2"/>
        <v>High</v>
      </c>
      <c r="G111">
        <v>6</v>
      </c>
      <c r="H111" s="7" t="s">
        <v>90</v>
      </c>
      <c r="I111" s="11">
        <f t="shared" si="3"/>
        <v>2.2999999999999998</v>
      </c>
      <c r="J111" t="str" cm="1">
        <f t="array" ref="J111">IFERROR(_xlfn.IFS(I111="", "", I111&lt;3,"Poor", I111&lt;=4.4,"Average", I111&gt;=4.5,"Excellent"), "")</f>
        <v>Poor</v>
      </c>
    </row>
    <row r="112" spans="1:10" x14ac:dyDescent="0.35">
      <c r="A112" t="s">
        <v>11</v>
      </c>
      <c r="B112" s="4">
        <v>1580</v>
      </c>
      <c r="C112" s="4">
        <v>2499</v>
      </c>
      <c r="D112" s="4">
        <f>C112-B112</f>
        <v>919</v>
      </c>
      <c r="E112" s="9">
        <v>0.37</v>
      </c>
      <c r="F112" s="1" t="str">
        <f t="shared" si="2"/>
        <v>Medium</v>
      </c>
      <c r="G112">
        <v>7</v>
      </c>
      <c r="H112" s="7" t="s">
        <v>12</v>
      </c>
      <c r="I112" s="11">
        <f t="shared" si="3"/>
        <v>4.7</v>
      </c>
      <c r="J112" t="str" cm="1">
        <f t="array" ref="J112">IFERROR(_xlfn.IFS(I112="", "", I112&lt;3,"Poor", I112&lt;=4.4,"Average", I112&gt;=4.5,"Excellent"), "")</f>
        <v>Excellent</v>
      </c>
    </row>
    <row r="113" spans="1:10" x14ac:dyDescent="0.35">
      <c r="A113" t="s">
        <v>96</v>
      </c>
      <c r="B113" s="4">
        <v>509</v>
      </c>
      <c r="C113" s="4">
        <v>899</v>
      </c>
      <c r="D113" s="4">
        <f>C113-B113</f>
        <v>390</v>
      </c>
      <c r="E113" s="9">
        <v>0.43</v>
      </c>
      <c r="F113" s="1" t="str">
        <f t="shared" si="2"/>
        <v>High</v>
      </c>
      <c r="G113">
        <v>5</v>
      </c>
      <c r="H113" s="7" t="s">
        <v>78</v>
      </c>
      <c r="I113" s="11">
        <f t="shared" si="3"/>
        <v>3</v>
      </c>
      <c r="J113" t="str" cm="1">
        <f t="array" ref="J113">IFERROR(_xlfn.IFS(I113="", "", I113&lt;3,"Poor", I113&lt;=4.4,"Average", I113&gt;=4.5,"Excellent"), "")</f>
        <v>Average</v>
      </c>
    </row>
    <row r="114" spans="1:10" x14ac:dyDescent="0.35">
      <c r="I114" s="11" t="str">
        <f t="shared" si="3"/>
        <v/>
      </c>
      <c r="J114" t="str" cm="1">
        <f t="array" ref="J114">IFERROR(_xlfn.IFS(I114="", "", I114&lt;3,"Poor", I114&lt;=4.4,"Average", I114&gt;=4.5,"Excellent"), "")</f>
        <v/>
      </c>
    </row>
  </sheetData>
  <sortState xmlns:xlrd2="http://schemas.microsoft.com/office/spreadsheetml/2017/richdata2" ref="A2:H113">
    <sortCondition ref="A1:A113"/>
  </sortState>
  <conditionalFormatting sqref="A1:A1048576 F1:F1048576 J1:J1048576">
    <cfRule type="expression" priority="1">
      <formula>AND($E2&gt;=40%,$H2&lt;=3)</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PIVOTS</vt:lpstr>
      <vt:lpstr>Excel_jumia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madness maker</cp:lastModifiedBy>
  <dcterms:created xsi:type="dcterms:W3CDTF">2026-03-25T07:22:28Z</dcterms:created>
  <dcterms:modified xsi:type="dcterms:W3CDTF">2026-03-29T19:50:22Z</dcterms:modified>
</cp:coreProperties>
</file>